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rj634_scarletmail_rutgers_edu/Documents/"/>
    </mc:Choice>
  </mc:AlternateContent>
  <xr:revisionPtr revIDLastSave="5" documentId="114_{AE0D7805-4BEA-DD43-B1C4-B77463C01032}" xr6:coauthVersionLast="47" xr6:coauthVersionMax="47" xr10:uidLastSave="{690880C9-4CDB-1B42-8DCC-6CE316806631}"/>
  <bookViews>
    <workbookView xWindow="0" yWindow="760" windowWidth="29400" windowHeight="17120" activeTab="4" xr2:uid="{00000000-000D-0000-FFFF-FFFF00000000}"/>
  </bookViews>
  <sheets>
    <sheet name="Income Statement" sheetId="1" r:id="rId1"/>
    <sheet name="Revenue Build (FIXED)" sheetId="7" r:id="rId2"/>
    <sheet name="Revenue Build" sheetId="2" r:id="rId3"/>
    <sheet name="Cash Flow Statement" sheetId="3" r:id="rId4"/>
    <sheet name="Balance Sheet" sheetId="6" r:id="rId5"/>
    <sheet name="Comparisons" sheetId="4" r:id="rId6"/>
    <sheet name="Valuations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7" i="1"/>
  <c r="J7" i="1"/>
  <c r="K7" i="1"/>
  <c r="G7" i="1"/>
  <c r="H5" i="1"/>
  <c r="I5" i="1"/>
  <c r="J5" i="1"/>
  <c r="K5" i="1"/>
  <c r="H6" i="1"/>
  <c r="I6" i="1"/>
  <c r="J6" i="1"/>
  <c r="K6" i="1"/>
  <c r="G6" i="1"/>
  <c r="G5" i="1"/>
  <c r="H4" i="1"/>
  <c r="I4" i="1"/>
  <c r="J4" i="1"/>
  <c r="K4" i="1"/>
  <c r="G4" i="1"/>
  <c r="H3" i="1"/>
  <c r="I3" i="1"/>
  <c r="J3" i="1"/>
  <c r="K3" i="1"/>
  <c r="G3" i="1"/>
  <c r="H40" i="1"/>
  <c r="I40" i="1"/>
  <c r="J40" i="1"/>
  <c r="K40" i="1"/>
  <c r="G40" i="1"/>
  <c r="H39" i="1"/>
  <c r="I39" i="1"/>
  <c r="J39" i="1"/>
  <c r="K39" i="1"/>
  <c r="G39" i="1"/>
  <c r="G36" i="1"/>
  <c r="H38" i="1"/>
  <c r="I38" i="1"/>
  <c r="J38" i="1"/>
  <c r="K38" i="1"/>
  <c r="G38" i="1"/>
  <c r="H37" i="1"/>
  <c r="I37" i="1"/>
  <c r="J37" i="1"/>
  <c r="K37" i="1"/>
  <c r="G37" i="1"/>
  <c r="H36" i="1"/>
  <c r="I25" i="7"/>
  <c r="J25" i="7"/>
  <c r="K25" i="7"/>
  <c r="L25" i="7"/>
  <c r="H25" i="7"/>
  <c r="I24" i="7"/>
  <c r="J24" i="7"/>
  <c r="K24" i="7"/>
  <c r="L24" i="7"/>
  <c r="H24" i="7"/>
  <c r="I23" i="7"/>
  <c r="H23" i="7"/>
  <c r="J23" i="7"/>
  <c r="K23" i="7"/>
  <c r="L23" i="7"/>
  <c r="J20" i="7"/>
  <c r="I20" i="7"/>
  <c r="H20" i="7"/>
  <c r="K20" i="7"/>
  <c r="L20" i="7"/>
  <c r="I19" i="7"/>
  <c r="J19" i="7"/>
  <c r="K19" i="7"/>
  <c r="L19" i="7"/>
  <c r="H19" i="7"/>
  <c r="H18" i="7"/>
  <c r="I18" i="7" s="1"/>
  <c r="J18" i="7" s="1"/>
  <c r="K18" i="7" s="1"/>
  <c r="L18" i="7" s="1"/>
  <c r="H15" i="7"/>
  <c r="I15" i="7" s="1"/>
  <c r="J15" i="7" s="1"/>
  <c r="K15" i="7"/>
  <c r="L15" i="7"/>
  <c r="I14" i="7"/>
  <c r="J14" i="7"/>
  <c r="K14" i="7"/>
  <c r="L14" i="7"/>
  <c r="H14" i="7"/>
  <c r="I10" i="7"/>
  <c r="J10" i="7"/>
  <c r="K10" i="7"/>
  <c r="L10" i="7"/>
  <c r="H10" i="7"/>
  <c r="E35" i="7"/>
  <c r="I13" i="7"/>
  <c r="J13" i="7"/>
  <c r="K13" i="7"/>
  <c r="L13" i="7"/>
  <c r="H13" i="7"/>
  <c r="I8" i="7"/>
  <c r="J8" i="7"/>
  <c r="K8" i="7"/>
  <c r="L8" i="7"/>
  <c r="H8" i="7"/>
  <c r="H4" i="7"/>
  <c r="I4" i="7" s="1"/>
  <c r="J4" i="7" s="1"/>
  <c r="K4" i="7" s="1"/>
  <c r="L4" i="7" s="1"/>
  <c r="H35" i="7"/>
  <c r="E50" i="7"/>
  <c r="E49" i="7"/>
  <c r="E48" i="7"/>
  <c r="E45" i="7"/>
  <c r="F44" i="7"/>
  <c r="G44" i="7"/>
  <c r="E44" i="7"/>
  <c r="E43" i="7"/>
  <c r="E40" i="7"/>
  <c r="E39" i="7"/>
  <c r="E38" i="7"/>
  <c r="F36" i="7"/>
  <c r="G36" i="7"/>
  <c r="E36" i="7"/>
  <c r="F35" i="7"/>
  <c r="G35" i="7"/>
  <c r="E34" i="7"/>
  <c r="F48" i="7"/>
  <c r="G48" i="7"/>
  <c r="F49" i="7"/>
  <c r="G49" i="7"/>
  <c r="E31" i="7"/>
  <c r="F31" i="7"/>
  <c r="G31" i="7"/>
  <c r="F34" i="7"/>
  <c r="G34" i="7"/>
  <c r="F38" i="7"/>
  <c r="G38" i="7"/>
  <c r="F39" i="7"/>
  <c r="G39" i="7"/>
  <c r="F43" i="7"/>
  <c r="G43" i="7"/>
  <c r="D25" i="7"/>
  <c r="E25" i="7"/>
  <c r="F25" i="7"/>
  <c r="G25" i="7"/>
  <c r="D20" i="7"/>
  <c r="E20" i="7"/>
  <c r="F20" i="7"/>
  <c r="G20" i="7"/>
  <c r="D15" i="7"/>
  <c r="E15" i="7"/>
  <c r="F15" i="7"/>
  <c r="G15" i="7"/>
  <c r="F10" i="7"/>
  <c r="G10" i="7"/>
  <c r="F4" i="5"/>
  <c r="F10" i="5"/>
  <c r="F5" i="5"/>
  <c r="C10" i="5"/>
  <c r="C13" i="5"/>
  <c r="F94" i="2"/>
  <c r="G94" i="2"/>
  <c r="H94" i="2"/>
  <c r="E94" i="2"/>
  <c r="F93" i="2"/>
  <c r="G93" i="2"/>
  <c r="H93" i="2"/>
  <c r="E93" i="2"/>
  <c r="F92" i="2"/>
  <c r="G92" i="2"/>
  <c r="H92" i="2"/>
  <c r="E92" i="2"/>
  <c r="F91" i="2"/>
  <c r="G91" i="2"/>
  <c r="H91" i="2"/>
  <c r="E91" i="2"/>
  <c r="F89" i="2"/>
  <c r="G89" i="2"/>
  <c r="H89" i="2"/>
  <c r="E89" i="2"/>
  <c r="F88" i="2"/>
  <c r="G88" i="2"/>
  <c r="H88" i="2"/>
  <c r="E88" i="2"/>
  <c r="F84" i="2"/>
  <c r="G84" i="2"/>
  <c r="H84" i="2"/>
  <c r="E84" i="2"/>
  <c r="F76" i="2"/>
  <c r="G76" i="2"/>
  <c r="H76" i="2"/>
  <c r="E76" i="2"/>
  <c r="F75" i="2"/>
  <c r="G75" i="2"/>
  <c r="H75" i="2"/>
  <c r="E75" i="2"/>
  <c r="F74" i="2"/>
  <c r="G74" i="2"/>
  <c r="H74" i="2"/>
  <c r="E74" i="2"/>
  <c r="F73" i="2"/>
  <c r="G73" i="2"/>
  <c r="H73" i="2"/>
  <c r="E73" i="2"/>
  <c r="F83" i="2"/>
  <c r="G83" i="2"/>
  <c r="H83" i="2"/>
  <c r="F71" i="2"/>
  <c r="G71" i="2"/>
  <c r="H71" i="2"/>
  <c r="E71" i="2"/>
  <c r="F70" i="2"/>
  <c r="G70" i="2"/>
  <c r="H70" i="2"/>
  <c r="E70" i="2"/>
  <c r="G82" i="2"/>
  <c r="E83" i="2"/>
  <c r="F82" i="2"/>
  <c r="H82" i="2"/>
  <c r="E82" i="2"/>
  <c r="F80" i="2"/>
  <c r="G80" i="2"/>
  <c r="H80" i="2"/>
  <c r="E80" i="2"/>
  <c r="F79" i="2"/>
  <c r="G79" i="2"/>
  <c r="H79" i="2"/>
  <c r="E79" i="2"/>
  <c r="E63" i="2"/>
  <c r="E62" i="2"/>
  <c r="F59" i="2"/>
  <c r="G59" i="2"/>
  <c r="H59" i="2"/>
  <c r="E59" i="2"/>
  <c r="F67" i="2"/>
  <c r="G67" i="2"/>
  <c r="H67" i="2"/>
  <c r="E67" i="2"/>
  <c r="F66" i="2"/>
  <c r="G66" i="2"/>
  <c r="H66" i="2"/>
  <c r="E66" i="2"/>
  <c r="F65" i="2"/>
  <c r="G65" i="2"/>
  <c r="H65" i="2"/>
  <c r="E65" i="2"/>
  <c r="E64" i="2"/>
  <c r="F62" i="2"/>
  <c r="G62" i="2"/>
  <c r="B36" i="1"/>
  <c r="C36" i="1"/>
  <c r="D36" i="1"/>
  <c r="E36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D40" i="6"/>
  <c r="E40" i="6"/>
  <c r="F40" i="6"/>
  <c r="G40" i="6"/>
  <c r="C40" i="6"/>
  <c r="D28" i="6"/>
  <c r="E28" i="6"/>
  <c r="F28" i="6"/>
  <c r="G28" i="6"/>
  <c r="C28" i="6"/>
  <c r="C41" i="6" s="1"/>
  <c r="D11" i="6"/>
  <c r="D17" i="6" s="1"/>
  <c r="E11" i="6"/>
  <c r="E17" i="6" s="1"/>
  <c r="F11" i="6"/>
  <c r="F17" i="6" s="1"/>
  <c r="G11" i="6"/>
  <c r="G17" i="6" s="1"/>
  <c r="C11" i="6"/>
  <c r="C17" i="6" s="1"/>
  <c r="D46" i="2"/>
  <c r="D35" i="2"/>
  <c r="D23" i="2"/>
  <c r="E17" i="2"/>
  <c r="E18" i="2" s="1"/>
  <c r="F46" i="2"/>
  <c r="G46" i="2"/>
  <c r="H46" i="2"/>
  <c r="H52" i="2" s="1"/>
  <c r="I46" i="2"/>
  <c r="I52" i="2" s="1"/>
  <c r="J46" i="2"/>
  <c r="J52" i="2" s="1"/>
  <c r="K46" i="2"/>
  <c r="K52" i="2" s="1"/>
  <c r="L46" i="2"/>
  <c r="L52" i="2" s="1"/>
  <c r="E46" i="2"/>
  <c r="E52" i="2" s="1"/>
  <c r="E95" i="2" s="1"/>
  <c r="F35" i="2"/>
  <c r="F40" i="2" s="1"/>
  <c r="G35" i="2"/>
  <c r="G40" i="2" s="1"/>
  <c r="G85" i="2" s="1"/>
  <c r="H35" i="2"/>
  <c r="H40" i="2" s="1"/>
  <c r="I35" i="2"/>
  <c r="I40" i="2" s="1"/>
  <c r="J35" i="2"/>
  <c r="J40" i="2" s="1"/>
  <c r="K35" i="2"/>
  <c r="K40" i="2" s="1"/>
  <c r="L35" i="2"/>
  <c r="L40" i="2" s="1"/>
  <c r="E35" i="2"/>
  <c r="E40" i="2" s="1"/>
  <c r="E85" i="2" s="1"/>
  <c r="G11" i="2"/>
  <c r="G17" i="2" s="1"/>
  <c r="G18" i="2" s="1"/>
  <c r="H11" i="2"/>
  <c r="H17" i="2" s="1"/>
  <c r="H18" i="2" s="1"/>
  <c r="I11" i="2"/>
  <c r="I17" i="2" s="1"/>
  <c r="I18" i="2" s="1"/>
  <c r="J11" i="2"/>
  <c r="J17" i="2" s="1"/>
  <c r="J18" i="2" s="1"/>
  <c r="K11" i="2"/>
  <c r="K17" i="2" s="1"/>
  <c r="K18" i="2" s="1"/>
  <c r="L11" i="2"/>
  <c r="L17" i="2" s="1"/>
  <c r="L18" i="2" s="1"/>
  <c r="F11" i="2"/>
  <c r="F17" i="2" s="1"/>
  <c r="F18" i="2" s="1"/>
  <c r="F23" i="2"/>
  <c r="F29" i="2" s="1"/>
  <c r="G23" i="2"/>
  <c r="G29" i="2" s="1"/>
  <c r="G77" i="2" s="1"/>
  <c r="H23" i="2"/>
  <c r="H29" i="2" s="1"/>
  <c r="H77" i="2" s="1"/>
  <c r="I23" i="2"/>
  <c r="I29" i="2" s="1"/>
  <c r="J23" i="2"/>
  <c r="J29" i="2" s="1"/>
  <c r="K23" i="2"/>
  <c r="K29" i="2" s="1"/>
  <c r="L23" i="2"/>
  <c r="L29" i="2" s="1"/>
  <c r="E23" i="2"/>
  <c r="E29" i="2" s="1"/>
  <c r="E77" i="2" s="1"/>
  <c r="B7" i="1"/>
  <c r="B37" i="1" s="1"/>
  <c r="C7" i="1"/>
  <c r="C37" i="1" s="1"/>
  <c r="C24" i="1"/>
  <c r="D24" i="1"/>
  <c r="E24" i="1"/>
  <c r="B24" i="1"/>
  <c r="C13" i="1"/>
  <c r="D13" i="1"/>
  <c r="E13" i="1"/>
  <c r="B13" i="1"/>
  <c r="C6" i="1"/>
  <c r="D6" i="1"/>
  <c r="E6" i="1"/>
  <c r="B6" i="1"/>
  <c r="G40" i="7" l="1"/>
  <c r="F40" i="7"/>
  <c r="G45" i="7"/>
  <c r="F45" i="7"/>
  <c r="G50" i="7"/>
  <c r="F50" i="7"/>
  <c r="F85" i="2"/>
  <c r="G52" i="2"/>
  <c r="G90" i="2"/>
  <c r="F52" i="2"/>
  <c r="F90" i="2"/>
  <c r="E90" i="2"/>
  <c r="F95" i="2"/>
  <c r="F77" i="2"/>
  <c r="H85" i="2"/>
  <c r="H95" i="2"/>
  <c r="F72" i="2"/>
  <c r="H90" i="2"/>
  <c r="H72" i="2"/>
  <c r="G72" i="2"/>
  <c r="E72" i="2"/>
  <c r="H63" i="2"/>
  <c r="E68" i="2"/>
  <c r="H68" i="2"/>
  <c r="G68" i="2"/>
  <c r="H64" i="2"/>
  <c r="G64" i="2"/>
  <c r="F64" i="2"/>
  <c r="E81" i="2"/>
  <c r="G63" i="2"/>
  <c r="F68" i="2"/>
  <c r="H81" i="2"/>
  <c r="F63" i="2"/>
  <c r="G81" i="2"/>
  <c r="F81" i="2"/>
  <c r="I36" i="1"/>
  <c r="J36" i="1" s="1"/>
  <c r="K36" i="1" s="1"/>
  <c r="G41" i="6"/>
  <c r="F41" i="6"/>
  <c r="E41" i="6"/>
  <c r="D41" i="6"/>
  <c r="G95" i="2" l="1"/>
</calcChain>
</file>

<file path=xl/sharedStrings.xml><?xml version="1.0" encoding="utf-8"?>
<sst xmlns="http://schemas.openxmlformats.org/spreadsheetml/2006/main" count="448" uniqueCount="223">
  <si>
    <t>Historical</t>
  </si>
  <si>
    <t>Projected</t>
  </si>
  <si>
    <t>Breakdown</t>
  </si>
  <si>
    <t>2021A</t>
  </si>
  <si>
    <t>2022A</t>
  </si>
  <si>
    <t>2023A</t>
  </si>
  <si>
    <t>2024A</t>
  </si>
  <si>
    <t>2025E</t>
  </si>
  <si>
    <t>2026E</t>
  </si>
  <si>
    <t>2027E</t>
  </si>
  <si>
    <t>2028E</t>
  </si>
  <si>
    <t>2029E</t>
  </si>
  <si>
    <t>Total Revenue</t>
  </si>
  <si>
    <t>Cost of Operations</t>
  </si>
  <si>
    <t>Gross Profit</t>
  </si>
  <si>
    <t>Margin</t>
  </si>
  <si>
    <t xml:space="preserve">Depreciation &amp; Amortization </t>
  </si>
  <si>
    <t>Operating Expense</t>
  </si>
  <si>
    <t>Selling General and Administrative</t>
  </si>
  <si>
    <t>Research and Development</t>
  </si>
  <si>
    <t>Restructuring Charges</t>
  </si>
  <si>
    <t>EBIT</t>
  </si>
  <si>
    <t>Interest Income</t>
  </si>
  <si>
    <t>Interest Expense</t>
  </si>
  <si>
    <t>Net Interest Income</t>
  </si>
  <si>
    <t>Other Income Expense</t>
  </si>
  <si>
    <t>Other Operating Expenses</t>
  </si>
  <si>
    <t>EBT</t>
  </si>
  <si>
    <t>Tax Provision</t>
  </si>
  <si>
    <t>Net Income</t>
  </si>
  <si>
    <t>Attributable to Non-Controlling Interest</t>
  </si>
  <si>
    <t>Net-Income Attributable to Sherwin-Williams</t>
  </si>
  <si>
    <t>EBITDA</t>
  </si>
  <si>
    <t>Earnings Per Share</t>
  </si>
  <si>
    <t>Basic</t>
  </si>
  <si>
    <t>Diluted</t>
  </si>
  <si>
    <t>Shares Outstanding</t>
  </si>
  <si>
    <t>Forecast</t>
  </si>
  <si>
    <t>Depreciation, Ammoritzaition and Deplection</t>
  </si>
  <si>
    <t>Selling, General, and Administrative</t>
  </si>
  <si>
    <t>Taxes</t>
  </si>
  <si>
    <t>Diluted NI Available to Com Stoc...</t>
  </si>
  <si>
    <t>Gain on Sale of Security</t>
  </si>
  <si>
    <t>Basic EPS</t>
  </si>
  <si>
    <t>Special Income Charges</t>
  </si>
  <si>
    <t>Diluted EPS</t>
  </si>
  <si>
    <t>Impairment of Capital Assets</t>
  </si>
  <si>
    <t>Basic Average Shares</t>
  </si>
  <si>
    <t>Write Off</t>
  </si>
  <si>
    <t>Diluted Average Shares</t>
  </si>
  <si>
    <t>Other Special Charges</t>
  </si>
  <si>
    <t>Total Expenses</t>
  </si>
  <si>
    <t>Gain on Sale of Business</t>
  </si>
  <si>
    <t>Net Income from Continuing &amp; D...</t>
  </si>
  <si>
    <t>Gain on Sale of PPE</t>
  </si>
  <si>
    <t>Normalized Income</t>
  </si>
  <si>
    <t>Other Non Operating Income ...</t>
  </si>
  <si>
    <t>Pretax Income</t>
  </si>
  <si>
    <t>Reconciled Cost of Revenue</t>
  </si>
  <si>
    <t>Reconciled Depreciation</t>
  </si>
  <si>
    <t>Net Income from Continuing Op...</t>
  </si>
  <si>
    <t>Total Unusual Items Excluding G...</t>
  </si>
  <si>
    <t>Total Unusual Items</t>
  </si>
  <si>
    <t>Normalized EBITDA</t>
  </si>
  <si>
    <t>USE SEC EDGAR</t>
  </si>
  <si>
    <t>Net Sales</t>
  </si>
  <si>
    <t>YoY Growth</t>
  </si>
  <si>
    <t>Paint Store Group:</t>
  </si>
  <si>
    <t>Intersegment Tranfers</t>
  </si>
  <si>
    <t>-</t>
  </si>
  <si>
    <t>Total Paint Store Group</t>
  </si>
  <si>
    <t>Consumer Brands Group:</t>
  </si>
  <si>
    <t>Less Intersegment Tranfers</t>
  </si>
  <si>
    <t>Total Consumer Brands Group</t>
  </si>
  <si>
    <t>Performance Coating Group:</t>
  </si>
  <si>
    <t>Total Performance Coating Group</t>
  </si>
  <si>
    <t>Administrative:</t>
  </si>
  <si>
    <t>Total Administrative</t>
  </si>
  <si>
    <t>Revenue</t>
  </si>
  <si>
    <t>Total Net Sales and Intersegment Tranfers</t>
  </si>
  <si>
    <t xml:space="preserve">Revenue </t>
  </si>
  <si>
    <t>Segment Profit</t>
  </si>
  <si>
    <t>Cost of Goods Sold</t>
  </si>
  <si>
    <t>Selling, General, and Administrative expenses</t>
  </si>
  <si>
    <t>Other Segment Items</t>
  </si>
  <si>
    <t>Income before Income Taxes</t>
  </si>
  <si>
    <t>% of Net Sales</t>
  </si>
  <si>
    <t/>
  </si>
  <si>
    <t>Cash Flow Statements</t>
  </si>
  <si>
    <t xml:space="preserve">Cash provided by operating activities: </t>
  </si>
  <si>
    <t>Net income</t>
  </si>
  <si>
    <t>Depreciation, amortization, depletion and accretion</t>
  </si>
  <si>
    <t>Non‑cash interest expense</t>
  </si>
  <si>
    <t>Stock‑based compensation</t>
  </si>
  <si>
    <t>Deferred tax provision (benefit)</t>
  </si>
  <si>
    <t>Provision for doubtful accounts</t>
  </si>
  <si>
    <t>Loss on extinguishment of debt</t>
  </si>
  <si>
    <t>0.0</t>
  </si>
  <si>
    <t>(Gain) loss on disposition of assets &amp; impairments, net</t>
  </si>
  <si>
    <t>Environmental adjustments</t>
  </si>
  <si>
    <t>Other non‑cash items</t>
  </si>
  <si>
    <t>Accounts receivable</t>
  </si>
  <si>
    <t>Prepaid expenses and other assets</t>
  </si>
  <si>
    <t>Accounts payable</t>
  </si>
  <si>
    <t>Other tabites</t>
  </si>
  <si>
    <t>Cash provided by operating activities (TOTAL)</t>
  </si>
  <si>
    <t>Purchases of property and equipment</t>
  </si>
  <si>
    <t>Proceeds from sales of property and equipment</t>
  </si>
  <si>
    <t>Cash used in acquisitions and investments</t>
  </si>
  <si>
    <t>Cash received from business divestitures</t>
  </si>
  <si>
    <t>Other (investing)</t>
  </si>
  <si>
    <t>Cash used in investing activities (TOTAL)</t>
  </si>
  <si>
    <t>Proceeds from credit facilities &amp; notes payable</t>
  </si>
  <si>
    <t>Proceeds from issuance of senior notes</t>
  </si>
  <si>
    <t>Payments of credit facilities &amp; notes payable</t>
  </si>
  <si>
    <t>Issuances of common stock, net</t>
  </si>
  <si>
    <t>30</t>
  </si>
  <si>
    <t>Purchases of common stock for treasury</t>
  </si>
  <si>
    <t>Cash dividends</t>
  </si>
  <si>
    <t>Cash provided by (used in) financing activities (TOTAL)</t>
  </si>
  <si>
    <t>Effect of foreign‑exchange rate changes on cash</t>
  </si>
  <si>
    <t>Increase (decrease) in cash</t>
  </si>
  <si>
    <t>78.0</t>
  </si>
  <si>
    <t>Cash at the beginning of the year</t>
  </si>
  <si>
    <t>Cash at the end of the year</t>
  </si>
  <si>
    <t xml:space="preserve">Balance Sheet </t>
  </si>
  <si>
    <t>( $ In millions)</t>
  </si>
  <si>
    <t>2020A</t>
  </si>
  <si>
    <t>Assets:</t>
  </si>
  <si>
    <t>Current Assets:</t>
  </si>
  <si>
    <t>Cash and cash equivalents</t>
  </si>
  <si>
    <t>Accounts recievable, less allowance</t>
  </si>
  <si>
    <t>Inventories</t>
  </si>
  <si>
    <t>Other current assets</t>
  </si>
  <si>
    <t>Total current assets</t>
  </si>
  <si>
    <t>Property, plant and equipment, net</t>
  </si>
  <si>
    <t>Goodwill</t>
  </si>
  <si>
    <t>Intangible assets, net</t>
  </si>
  <si>
    <t>Operating lease right-of-use assets</t>
  </si>
  <si>
    <t>Other assets</t>
  </si>
  <si>
    <t>Total Assets</t>
  </si>
  <si>
    <t>Liabilities and Shareholders' Equity:</t>
  </si>
  <si>
    <t>Current liabilities:</t>
  </si>
  <si>
    <t>Short-term borrowings</t>
  </si>
  <si>
    <t>Compensation and taxes withheld</t>
  </si>
  <si>
    <t>Accrued taxes</t>
  </si>
  <si>
    <t>Current portion of long-term debt</t>
  </si>
  <si>
    <t>Current portion of operating lease liabilities</t>
  </si>
  <si>
    <t>Other accruals</t>
  </si>
  <si>
    <t>Total current liabilities</t>
  </si>
  <si>
    <t>Long-term debt</t>
  </si>
  <si>
    <t>Postretirement benefits other than pensions</t>
  </si>
  <si>
    <t>Deferred income taxes</t>
  </si>
  <si>
    <t>Long-term operating lease liabilities</t>
  </si>
  <si>
    <t>Other long-term liabilities</t>
  </si>
  <si>
    <t>Shareholders' equity:</t>
  </si>
  <si>
    <t>Common Stock</t>
  </si>
  <si>
    <t>Other capital</t>
  </si>
  <si>
    <t>Retained earnings</t>
  </si>
  <si>
    <t>Treasury stock, at cost</t>
  </si>
  <si>
    <t>Accumulated other comprehensive loss</t>
  </si>
  <si>
    <t>Total shareholders' equity</t>
  </si>
  <si>
    <t>Total Liabilities and Shareholders' Equity</t>
  </si>
  <si>
    <t>As of (10-2-2025)</t>
  </si>
  <si>
    <t xml:space="preserve"> Market Cap </t>
  </si>
  <si>
    <t xml:space="preserve"> EV</t>
  </si>
  <si>
    <t> </t>
  </si>
  <si>
    <t> LTM</t>
  </si>
  <si>
    <t>Company</t>
  </si>
  <si>
    <t>Ticker</t>
  </si>
  <si>
    <t xml:space="preserve"> ($MM</t>
  </si>
  <si>
    <t>EV ($MM)</t>
  </si>
  <si>
    <t>EV/EBITDA</t>
  </si>
  <si>
    <t>EV/Revenue</t>
  </si>
  <si>
    <t xml:space="preserve"> P|E</t>
  </si>
  <si>
    <t>Linde plc</t>
  </si>
  <si>
    <t>NYSE: LIN</t>
  </si>
  <si>
    <t>18.48x</t>
  </si>
  <si>
    <t>7.26x</t>
  </si>
  <si>
    <t>33.37x</t>
  </si>
  <si>
    <t>Yahoo Finance</t>
  </si>
  <si>
    <t>PPG Industries</t>
  </si>
  <si>
    <t>NYSE: PPG</t>
  </si>
  <si>
    <t>11.99x</t>
  </si>
  <si>
    <t>1.91x</t>
  </si>
  <si>
    <t>18.9x</t>
  </si>
  <si>
    <t>RPM International</t>
  </si>
  <si>
    <t>NYSE: RPM</t>
  </si>
  <si>
    <t>16.01x</t>
  </si>
  <si>
    <t>2.34x</t>
  </si>
  <si>
    <t>21.73x</t>
  </si>
  <si>
    <t>Masco Corporation</t>
  </si>
  <si>
    <t>NYSE: MAS</t>
  </si>
  <si>
    <t>14.28x</t>
  </si>
  <si>
    <t>2.31x</t>
  </si>
  <si>
    <t>18.83x</t>
  </si>
  <si>
    <t>Axalta Coating Systems</t>
  </si>
  <si>
    <t>NYSE: AXTA</t>
  </si>
  <si>
    <t>8.63x</t>
  </si>
  <si>
    <t>1.71x</t>
  </si>
  <si>
    <t>13.82x</t>
  </si>
  <si>
    <t xml:space="preserve">Average </t>
  </si>
  <si>
    <t>13.878x</t>
  </si>
  <si>
    <t>3.106x</t>
  </si>
  <si>
    <t>21.33x</t>
  </si>
  <si>
    <t>Median</t>
  </si>
  <si>
    <t>Max</t>
  </si>
  <si>
    <t>Min</t>
  </si>
  <si>
    <t>P / E</t>
  </si>
  <si>
    <t xml:space="preserve">Valuation Summary </t>
  </si>
  <si>
    <t>EPS</t>
  </si>
  <si>
    <t>Multiple</t>
  </si>
  <si>
    <t>33.2x</t>
  </si>
  <si>
    <t>Total Enterprise Value</t>
  </si>
  <si>
    <t>Total Enterprise Value 100,949.24</t>
  </si>
  <si>
    <t xml:space="preserve">(-)Debt </t>
  </si>
  <si>
    <t>(-) Debt</t>
  </si>
  <si>
    <t>(+)Cash</t>
  </si>
  <si>
    <t>(+) Cash</t>
  </si>
  <si>
    <t>Total Equity Value</t>
  </si>
  <si>
    <t>Implied Share Price</t>
  </si>
  <si>
    <t>Current Price (As of 11/9/25)</t>
  </si>
  <si>
    <t>Upside (Downside)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</si>
</sst>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164" formatCode="0.00_);\(0.00\)"/>
    <numFmt numFmtId="165" formatCode="0.0%"/>
    <numFmt numFmtId="166" formatCode="#,##0.0_);\(#,##0.0\)"/>
    <numFmt numFmtId="167" formatCode="#,##0.0"/>
    <numFmt numFmtId="168" formatCode="#,##0.0,"/>
    <numFmt numFmtId="169" formatCode="0.0"/>
    <numFmt numFmtId="170" formatCode="#,##0.00,"/>
    <numFmt numFmtId="171" formatCode="\(0.00\)%"/>
    <numFmt numFmtId="172" formatCode="&quot;$&quot;#,##0.00"/>
    <numFmt numFmtId="173" formatCode="00,000.0"/>
    <numFmt numFmtId="174" formatCode="000.0"/>
  </numFmts>
  <fonts count="35" x14ac:knownFonts="1">
    <font>
      <sz val="12"/>
      <color theme="1"/>
      <name val="Aptos Narrow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2"/>
      <color theme="1"/>
      <name val="Aptos Narrow"/>
    </font>
    <font>
      <sz val="12"/>
      <color theme="1"/>
      <name val="Aptos Narrow"/>
      <scheme val="minor"/>
    </font>
    <font>
      <b/>
      <i/>
      <sz val="11"/>
      <color rgb="FFFFFFFF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Aptos Narrow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1"/>
      <color rgb="FF000000"/>
      <name val="Calibri"/>
      <family val="2"/>
    </font>
    <font>
      <sz val="12"/>
      <color rgb="FF000000"/>
      <name val="Aptos Narrow"/>
      <scheme val="minor"/>
    </font>
    <font>
      <i/>
      <sz val="11"/>
      <color rgb="FF000000"/>
      <name val="Calibri"/>
      <family val="2"/>
    </font>
    <font>
      <sz val="11"/>
      <color theme="3" tint="0.499984740745262"/>
      <name val="Calibri"/>
      <family val="2"/>
    </font>
    <font>
      <sz val="11"/>
      <color rgb="FF0070C0"/>
      <name val="Calibri"/>
      <family val="2"/>
    </font>
    <font>
      <i/>
      <sz val="11"/>
      <color rgb="FF0070C0"/>
      <name val="Calibri"/>
      <family val="2"/>
    </font>
    <font>
      <sz val="12"/>
      <color theme="3" tint="0.499984740745262"/>
      <name val="Aptos Narrow"/>
    </font>
    <font>
      <sz val="11"/>
      <color theme="6" tint="0.39997558519241921"/>
      <name val="Calibri"/>
      <family val="2"/>
    </font>
    <font>
      <i/>
      <sz val="11"/>
      <color theme="1"/>
      <name val="Aptos Narrow"/>
    </font>
    <font>
      <sz val="13"/>
      <color rgb="FF333333"/>
      <name val="Menlo"/>
      <family val="2"/>
    </font>
    <font>
      <sz val="12"/>
      <color theme="0"/>
      <name val="Aptos Narrow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2"/>
      <color rgb="FF00B050"/>
      <name val="Aptos Narrow"/>
      <scheme val="minor"/>
    </font>
    <font>
      <sz val="12"/>
      <color rgb="FF0000FF"/>
      <name val="Aptos Narrow"/>
      <scheme val="minor"/>
    </font>
    <font>
      <i/>
      <sz val="11"/>
      <color rgb="FF0000FF"/>
      <name val="Calibri"/>
      <family val="2"/>
    </font>
    <font>
      <sz val="11"/>
      <color theme="9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FF"/>
      <name val="Calibri"/>
      <family val="2"/>
    </font>
    <font>
      <sz val="11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46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CE6F1"/>
        <bgColor rgb="FFDCE6F1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/>
      <right style="thin">
        <color rgb="FF002060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1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26">
    <xf numFmtId="0" fontId="0" fillId="0" borderId="1" xfId="0"/>
    <xf numFmtId="0" fontId="0" fillId="0" borderId="2" xfId="0" applyBorder="1" applyAlignment="1">
      <alignment horizontal="right" vertical="center"/>
    </xf>
    <xf numFmtId="0" fontId="0" fillId="3" borderId="2" xfId="0" applyFill="1" applyBorder="1" applyAlignment="1">
      <alignment horizontal="right" vertical="center"/>
    </xf>
    <xf numFmtId="3" fontId="3" fillId="3" borderId="2" xfId="0" applyNumberFormat="1" applyFont="1" applyFill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0" fillId="0" borderId="2" xfId="0" applyBorder="1"/>
    <xf numFmtId="0" fontId="0" fillId="3" borderId="2" xfId="0" applyFill="1" applyBorder="1"/>
    <xf numFmtId="3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3" fontId="2" fillId="3" borderId="2" xfId="0" applyNumberFormat="1" applyFont="1" applyFill="1" applyBorder="1" applyAlignment="1">
      <alignment horizontal="right" vertical="center"/>
    </xf>
    <xf numFmtId="14" fontId="5" fillId="2" borderId="2" xfId="0" applyNumberFormat="1" applyFont="1" applyFill="1" applyBorder="1" applyAlignment="1">
      <alignment horizontal="center" vertical="center"/>
    </xf>
    <xf numFmtId="165" fontId="0" fillId="0" borderId="1" xfId="0" applyNumberFormat="1"/>
    <xf numFmtId="166" fontId="1" fillId="2" borderId="2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166" fontId="0" fillId="0" borderId="1" xfId="0" applyNumberFormat="1"/>
    <xf numFmtId="166" fontId="9" fillId="0" borderId="1" xfId="0" applyNumberFormat="1" applyFont="1"/>
    <xf numFmtId="166" fontId="0" fillId="0" borderId="1" xfId="0" applyNumberFormat="1" applyAlignment="1">
      <alignment horizontal="center"/>
    </xf>
    <xf numFmtId="166" fontId="0" fillId="0" borderId="3" xfId="0" applyNumberFormat="1" applyBorder="1"/>
    <xf numFmtId="166" fontId="10" fillId="0" borderId="1" xfId="0" applyNumberFormat="1" applyFont="1"/>
    <xf numFmtId="166" fontId="0" fillId="0" borderId="1" xfId="0" quotePrefix="1" applyNumberFormat="1"/>
    <xf numFmtId="166" fontId="0" fillId="0" borderId="1" xfId="0" applyNumberFormat="1" applyAlignment="1">
      <alignment horizontal="right"/>
    </xf>
    <xf numFmtId="0" fontId="9" fillId="0" borderId="1" xfId="0" applyFont="1"/>
    <xf numFmtId="3" fontId="2" fillId="0" borderId="4" xfId="0" applyNumberFormat="1" applyFont="1" applyBorder="1" applyAlignment="1">
      <alignment horizontal="right" vertical="center"/>
    </xf>
    <xf numFmtId="0" fontId="0" fillId="3" borderId="4" xfId="0" applyFill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1" fillId="2" borderId="1" xfId="0" applyFont="1" applyFill="1" applyAlignment="1">
      <alignment horizontal="center" vertical="center"/>
    </xf>
    <xf numFmtId="14" fontId="1" fillId="2" borderId="1" xfId="0" applyNumberFormat="1" applyFont="1" applyFill="1" applyAlignment="1">
      <alignment horizontal="center" vertical="center"/>
    </xf>
    <xf numFmtId="14" fontId="5" fillId="2" borderId="1" xfId="0" applyNumberFormat="1" applyFont="1" applyFill="1" applyAlignment="1">
      <alignment horizontal="center" vertical="center"/>
    </xf>
    <xf numFmtId="0" fontId="2" fillId="0" borderId="1" xfId="0" applyFont="1" applyAlignment="1">
      <alignment vertical="center"/>
    </xf>
    <xf numFmtId="0" fontId="2" fillId="3" borderId="1" xfId="0" applyFont="1" applyFill="1" applyAlignment="1">
      <alignment vertical="center"/>
    </xf>
    <xf numFmtId="3" fontId="2" fillId="3" borderId="1" xfId="0" applyNumberFormat="1" applyFont="1" applyFill="1" applyAlignment="1">
      <alignment horizontal="right" vertical="center"/>
    </xf>
    <xf numFmtId="3" fontId="2" fillId="0" borderId="1" xfId="0" applyNumberFormat="1" applyFont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1" xfId="0" applyAlignment="1">
      <alignment horizontal="right" vertical="center"/>
    </xf>
    <xf numFmtId="0" fontId="0" fillId="3" borderId="1" xfId="0" applyFill="1" applyAlignment="1">
      <alignment horizontal="right" vertical="center"/>
    </xf>
    <xf numFmtId="10" fontId="2" fillId="4" borderId="1" xfId="2" applyNumberFormat="1" applyFont="1" applyFill="1" applyBorder="1" applyAlignment="1">
      <alignment horizontal="right" vertical="center"/>
    </xf>
    <xf numFmtId="10" fontId="2" fillId="5" borderId="1" xfId="2" applyNumberFormat="1" applyFont="1" applyFill="1" applyBorder="1" applyAlignment="1">
      <alignment horizontal="right" vertical="center"/>
    </xf>
    <xf numFmtId="10" fontId="2" fillId="5" borderId="1" xfId="0" applyNumberFormat="1" applyFont="1" applyFill="1"/>
    <xf numFmtId="0" fontId="2" fillId="3" borderId="1" xfId="0" applyFont="1" applyFill="1" applyAlignment="1">
      <alignment horizontal="right" vertical="center"/>
    </xf>
    <xf numFmtId="0" fontId="2" fillId="0" borderId="1" xfId="0" applyFont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5" fillId="2" borderId="1" xfId="0" applyFont="1" applyFill="1" applyAlignment="1">
      <alignment horizontal="center" vertical="center"/>
    </xf>
    <xf numFmtId="0" fontId="2" fillId="6" borderId="1" xfId="0" applyFont="1" applyFill="1" applyAlignment="1">
      <alignment vertical="center"/>
    </xf>
    <xf numFmtId="0" fontId="6" fillId="6" borderId="1" xfId="0" applyFont="1" applyFill="1" applyAlignment="1">
      <alignment vertical="center"/>
    </xf>
    <xf numFmtId="0" fontId="7" fillId="6" borderId="1" xfId="0" applyFont="1" applyFill="1" applyAlignment="1">
      <alignment vertical="center"/>
    </xf>
    <xf numFmtId="10" fontId="7" fillId="6" borderId="1" xfId="2" applyNumberFormat="1" applyFont="1" applyFill="1" applyBorder="1" applyAlignment="1">
      <alignment horizontal="right" vertical="center"/>
    </xf>
    <xf numFmtId="3" fontId="2" fillId="6" borderId="1" xfId="0" applyNumberFormat="1" applyFont="1" applyFill="1" applyAlignment="1">
      <alignment horizontal="right" vertical="center"/>
    </xf>
    <xf numFmtId="10" fontId="8" fillId="6" borderId="1" xfId="2" applyNumberFormat="1" applyFont="1" applyFill="1" applyBorder="1" applyAlignment="1">
      <alignment horizontal="right" vertical="center"/>
    </xf>
    <xf numFmtId="10" fontId="19" fillId="6" borderId="1" xfId="2" applyNumberFormat="1" applyFont="1" applyFill="1" applyBorder="1" applyAlignment="1">
      <alignment horizontal="right" vertical="center"/>
    </xf>
    <xf numFmtId="0" fontId="0" fillId="6" borderId="1" xfId="0" applyFill="1" applyAlignment="1">
      <alignment horizontal="right" vertical="center"/>
    </xf>
    <xf numFmtId="44" fontId="9" fillId="6" borderId="1" xfId="1" applyFont="1" applyFill="1" applyBorder="1" applyAlignment="1">
      <alignment horizontal="right" vertical="center"/>
    </xf>
    <xf numFmtId="167" fontId="18" fillId="6" borderId="1" xfId="0" applyNumberFormat="1" applyFont="1" applyFill="1" applyAlignment="1">
      <alignment horizontal="right" vertical="center"/>
    </xf>
    <xf numFmtId="14" fontId="1" fillId="2" borderId="1" xfId="0" applyNumberFormat="1" applyFont="1" applyFill="1" applyAlignment="1">
      <alignment horizontal="left" vertical="center" indent="1" shrinkToFit="1"/>
    </xf>
    <xf numFmtId="0" fontId="2" fillId="6" borderId="7" xfId="0" applyFont="1" applyFill="1" applyBorder="1" applyAlignment="1">
      <alignment vertical="center"/>
    </xf>
    <xf numFmtId="0" fontId="7" fillId="6" borderId="7" xfId="0" applyFont="1" applyFill="1" applyBorder="1" applyAlignment="1">
      <alignment vertical="center"/>
    </xf>
    <xf numFmtId="9" fontId="1" fillId="2" borderId="9" xfId="2" applyFont="1" applyFill="1" applyBorder="1" applyAlignment="1">
      <alignment horizontal="center" vertical="center"/>
    </xf>
    <xf numFmtId="3" fontId="15" fillId="7" borderId="1" xfId="1" applyNumberFormat="1" applyFont="1" applyFill="1" applyBorder="1" applyAlignment="1">
      <alignment horizontal="left" vertical="center" indent="1" shrinkToFit="1"/>
    </xf>
    <xf numFmtId="3" fontId="15" fillId="7" borderId="1" xfId="0" applyNumberFormat="1" applyFont="1" applyFill="1" applyAlignment="1">
      <alignment horizontal="left" vertical="center" indent="1" shrinkToFit="1"/>
    </xf>
    <xf numFmtId="3" fontId="6" fillId="7" borderId="1" xfId="0" applyNumberFormat="1" applyFont="1" applyFill="1" applyAlignment="1">
      <alignment horizontal="left" vertical="center" indent="1" shrinkToFit="1"/>
    </xf>
    <xf numFmtId="10" fontId="7" fillId="7" borderId="1" xfId="2" applyNumberFormat="1" applyFont="1" applyFill="1" applyBorder="1" applyAlignment="1">
      <alignment horizontal="left" vertical="center" indent="1" shrinkToFit="1"/>
    </xf>
    <xf numFmtId="167" fontId="15" fillId="7" borderId="1" xfId="0" applyNumberFormat="1" applyFont="1" applyFill="1" applyAlignment="1">
      <alignment horizontal="left" vertical="center" indent="1" shrinkToFit="1"/>
    </xf>
    <xf numFmtId="3" fontId="2" fillId="7" borderId="1" xfId="0" applyNumberFormat="1" applyFont="1" applyFill="1" applyAlignment="1">
      <alignment horizontal="left" vertical="center" indent="1" shrinkToFit="1"/>
    </xf>
    <xf numFmtId="10" fontId="8" fillId="7" borderId="1" xfId="2" applyNumberFormat="1" applyFont="1" applyFill="1" applyBorder="1" applyAlignment="1">
      <alignment horizontal="left" vertical="center" indent="1" shrinkToFit="1"/>
    </xf>
    <xf numFmtId="37" fontId="15" fillId="7" borderId="1" xfId="0" applyNumberFormat="1" applyFont="1" applyFill="1" applyAlignment="1">
      <alignment horizontal="left" vertical="center" indent="1" shrinkToFit="1"/>
    </xf>
    <xf numFmtId="4" fontId="17" fillId="7" borderId="1" xfId="0" applyNumberFormat="1" applyFont="1" applyFill="1" applyAlignment="1">
      <alignment horizontal="left" vertical="center" indent="1" shrinkToFit="1"/>
    </xf>
    <xf numFmtId="167" fontId="14" fillId="7" borderId="1" xfId="0" applyNumberFormat="1" applyFont="1" applyFill="1" applyAlignment="1">
      <alignment horizontal="left" vertical="center" indent="1" shrinkToFit="1"/>
    </xf>
    <xf numFmtId="166" fontId="0" fillId="0" borderId="1" xfId="0" applyNumberFormat="1" applyAlignment="1">
      <alignment wrapText="1"/>
    </xf>
    <xf numFmtId="9" fontId="0" fillId="0" borderId="3" xfId="0" applyNumberFormat="1" applyBorder="1"/>
    <xf numFmtId="9" fontId="0" fillId="0" borderId="1" xfId="0" applyNumberFormat="1"/>
    <xf numFmtId="168" fontId="15" fillId="6" borderId="1" xfId="1" applyNumberFormat="1" applyFont="1" applyFill="1" applyBorder="1" applyAlignment="1">
      <alignment horizontal="right" vertical="center"/>
    </xf>
    <xf numFmtId="0" fontId="20" fillId="0" borderId="1" xfId="0" applyFont="1"/>
    <xf numFmtId="10" fontId="2" fillId="8" borderId="1" xfId="2" applyNumberFormat="1" applyFont="1" applyFill="1" applyBorder="1" applyAlignment="1">
      <alignment horizontal="left" vertical="center" indent="1" shrinkToFit="1"/>
    </xf>
    <xf numFmtId="0" fontId="11" fillId="0" borderId="1" xfId="0" applyFont="1"/>
    <xf numFmtId="0" fontId="11" fillId="0" borderId="12" xfId="0" applyFont="1" applyBorder="1"/>
    <xf numFmtId="0" fontId="11" fillId="0" borderId="13" xfId="0" applyFont="1" applyBorder="1"/>
    <xf numFmtId="0" fontId="22" fillId="9" borderId="10" xfId="0" applyFont="1" applyFill="1" applyBorder="1"/>
    <xf numFmtId="0" fontId="22" fillId="9" borderId="11" xfId="0" applyFont="1" applyFill="1" applyBorder="1"/>
    <xf numFmtId="0" fontId="22" fillId="9" borderId="12" xfId="0" applyFont="1" applyFill="1" applyBorder="1"/>
    <xf numFmtId="0" fontId="22" fillId="9" borderId="13" xfId="0" applyFont="1" applyFill="1" applyBorder="1"/>
    <xf numFmtId="0" fontId="22" fillId="9" borderId="13" xfId="0" applyFont="1" applyFill="1" applyBorder="1" applyAlignment="1">
      <alignment horizontal="center"/>
    </xf>
    <xf numFmtId="0" fontId="22" fillId="9" borderId="11" xfId="0" applyFont="1" applyFill="1" applyBorder="1" applyAlignment="1">
      <alignment horizontal="center"/>
    </xf>
    <xf numFmtId="168" fontId="6" fillId="6" borderId="1" xfId="0" applyNumberFormat="1" applyFont="1" applyFill="1" applyAlignment="1">
      <alignment horizontal="right" vertical="center"/>
    </xf>
    <xf numFmtId="168" fontId="6" fillId="7" borderId="1" xfId="0" applyNumberFormat="1" applyFont="1" applyFill="1" applyAlignment="1">
      <alignment horizontal="left" vertical="center" indent="1" shrinkToFit="1"/>
    </xf>
    <xf numFmtId="168" fontId="0" fillId="6" borderId="1" xfId="0" applyNumberFormat="1" applyFill="1" applyAlignment="1">
      <alignment horizontal="right" vertical="center"/>
    </xf>
    <xf numFmtId="168" fontId="2" fillId="6" borderId="1" xfId="0" applyNumberFormat="1" applyFont="1" applyFill="1" applyAlignment="1">
      <alignment horizontal="right" vertical="center"/>
    </xf>
    <xf numFmtId="168" fontId="15" fillId="7" borderId="1" xfId="0" applyNumberFormat="1" applyFont="1" applyFill="1" applyAlignment="1">
      <alignment horizontal="left" vertical="center" indent="1" shrinkToFit="1"/>
    </xf>
    <xf numFmtId="0" fontId="21" fillId="6" borderId="1" xfId="0" applyFont="1" applyFill="1"/>
    <xf numFmtId="166" fontId="1" fillId="2" borderId="15" xfId="0" applyNumberFormat="1" applyFont="1" applyFill="1" applyBorder="1" applyAlignment="1">
      <alignment horizontal="center" vertical="center"/>
    </xf>
    <xf numFmtId="166" fontId="0" fillId="0" borderId="14" xfId="0" applyNumberFormat="1" applyBorder="1"/>
    <xf numFmtId="166" fontId="0" fillId="0" borderId="14" xfId="0" applyNumberFormat="1" applyBorder="1" applyAlignment="1">
      <alignment horizontal="center"/>
    </xf>
    <xf numFmtId="166" fontId="0" fillId="0" borderId="16" xfId="0" applyNumberFormat="1" applyBorder="1"/>
    <xf numFmtId="165" fontId="0" fillId="0" borderId="14" xfId="0" applyNumberFormat="1" applyBorder="1"/>
    <xf numFmtId="0" fontId="0" fillId="0" borderId="14" xfId="0" applyBorder="1"/>
    <xf numFmtId="39" fontId="0" fillId="0" borderId="1" xfId="0" applyNumberFormat="1"/>
    <xf numFmtId="39" fontId="0" fillId="0" borderId="1" xfId="0" applyNumberFormat="1" applyAlignment="1">
      <alignment horizontal="center"/>
    </xf>
    <xf numFmtId="39" fontId="0" fillId="0" borderId="3" xfId="0" applyNumberFormat="1" applyBorder="1"/>
    <xf numFmtId="165" fontId="0" fillId="0" borderId="1" xfId="0" applyNumberFormat="1" applyAlignment="1">
      <alignment horizontal="center"/>
    </xf>
    <xf numFmtId="165" fontId="0" fillId="0" borderId="3" xfId="0" applyNumberFormat="1" applyBorder="1"/>
    <xf numFmtId="0" fontId="0" fillId="0" borderId="17" xfId="0" applyBorder="1"/>
    <xf numFmtId="0" fontId="0" fillId="0" borderId="16" xfId="0" applyBorder="1"/>
    <xf numFmtId="0" fontId="0" fillId="0" borderId="3" xfId="0" applyBorder="1"/>
    <xf numFmtId="164" fontId="24" fillId="6" borderId="13" xfId="0" applyNumberFormat="1" applyFont="1" applyFill="1" applyBorder="1"/>
    <xf numFmtId="0" fontId="11" fillId="0" borderId="13" xfId="0" applyFont="1" applyBorder="1" applyAlignment="1">
      <alignment horizontal="right"/>
    </xf>
    <xf numFmtId="0" fontId="11" fillId="0" borderId="1" xfId="0" applyFont="1" applyAlignment="1">
      <alignment horizontal="right"/>
    </xf>
    <xf numFmtId="0" fontId="11" fillId="0" borderId="10" xfId="0" applyFont="1" applyBorder="1" applyAlignment="1">
      <alignment horizontal="right"/>
    </xf>
    <xf numFmtId="0" fontId="11" fillId="0" borderId="11" xfId="0" applyFont="1" applyBorder="1" applyAlignment="1">
      <alignment horizontal="right"/>
    </xf>
    <xf numFmtId="0" fontId="25" fillId="0" borderId="12" xfId="0" applyFont="1" applyBorder="1" applyAlignment="1">
      <alignment horizontal="right"/>
    </xf>
    <xf numFmtId="0" fontId="25" fillId="0" borderId="13" xfId="0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0" fontId="0" fillId="0" borderId="7" xfId="0" applyBorder="1"/>
    <xf numFmtId="0" fontId="0" fillId="0" borderId="18" xfId="0" applyBorder="1"/>
    <xf numFmtId="167" fontId="26" fillId="0" borderId="18" xfId="0" applyNumberFormat="1" applyFont="1" applyBorder="1" applyAlignment="1">
      <alignment horizontal="right"/>
    </xf>
    <xf numFmtId="0" fontId="26" fillId="0" borderId="18" xfId="0" applyFont="1" applyBorder="1" applyAlignment="1">
      <alignment horizontal="right"/>
    </xf>
    <xf numFmtId="4" fontId="0" fillId="0" borderId="18" xfId="0" applyNumberFormat="1" applyBorder="1"/>
    <xf numFmtId="168" fontId="9" fillId="0" borderId="18" xfId="0" applyNumberFormat="1" applyFont="1" applyBorder="1"/>
    <xf numFmtId="169" fontId="26" fillId="0" borderId="18" xfId="0" applyNumberFormat="1" applyFont="1" applyBorder="1"/>
    <xf numFmtId="0" fontId="0" fillId="0" borderId="19" xfId="0" applyBorder="1"/>
    <xf numFmtId="0" fontId="21" fillId="6" borderId="18" xfId="0" applyFont="1" applyFill="1" applyBorder="1"/>
    <xf numFmtId="0" fontId="0" fillId="11" borderId="21" xfId="0" applyFill="1" applyBorder="1"/>
    <xf numFmtId="171" fontId="0" fillId="11" borderId="22" xfId="2" applyNumberFormat="1" applyFont="1" applyFill="1" applyBorder="1"/>
    <xf numFmtId="0" fontId="22" fillId="10" borderId="20" xfId="0" applyFont="1" applyFill="1" applyBorder="1"/>
    <xf numFmtId="0" fontId="22" fillId="9" borderId="11" xfId="0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22" fillId="10" borderId="23" xfId="0" applyFont="1" applyFill="1" applyBorder="1"/>
    <xf numFmtId="0" fontId="0" fillId="10" borderId="18" xfId="0" applyFill="1" applyBorder="1"/>
    <xf numFmtId="0" fontId="27" fillId="10" borderId="18" xfId="0" applyFont="1" applyFill="1" applyBorder="1"/>
    <xf numFmtId="170" fontId="26" fillId="0" borderId="18" xfId="0" applyNumberFormat="1" applyFont="1" applyBorder="1"/>
    <xf numFmtId="167" fontId="0" fillId="0" borderId="18" xfId="0" applyNumberFormat="1" applyBorder="1"/>
    <xf numFmtId="167" fontId="9" fillId="0" borderId="18" xfId="0" applyNumberFormat="1" applyFont="1" applyBorder="1"/>
    <xf numFmtId="2" fontId="0" fillId="0" borderId="18" xfId="0" applyNumberFormat="1" applyBorder="1"/>
    <xf numFmtId="10" fontId="0" fillId="11" borderId="22" xfId="2" applyNumberFormat="1" applyFont="1" applyFill="1" applyBorder="1"/>
    <xf numFmtId="169" fontId="0" fillId="0" borderId="18" xfId="0" applyNumberFormat="1" applyBorder="1"/>
    <xf numFmtId="4" fontId="9" fillId="0" borderId="18" xfId="0" applyNumberFormat="1" applyFont="1" applyBorder="1" applyAlignment="1">
      <alignment horizontal="left"/>
    </xf>
    <xf numFmtId="0" fontId="1" fillId="10" borderId="2" xfId="0" applyFont="1" applyFill="1" applyBorder="1" applyAlignment="1">
      <alignment horizontal="center" vertical="center"/>
    </xf>
    <xf numFmtId="14" fontId="1" fillId="10" borderId="2" xfId="0" applyNumberFormat="1" applyFont="1" applyFill="1" applyBorder="1" applyAlignment="1">
      <alignment horizontal="center" vertical="center"/>
    </xf>
    <xf numFmtId="14" fontId="5" fillId="10" borderId="2" xfId="0" applyNumberFormat="1" applyFont="1" applyFill="1" applyBorder="1" applyAlignment="1">
      <alignment horizontal="center" vertical="center"/>
    </xf>
    <xf numFmtId="4" fontId="0" fillId="0" borderId="1" xfId="0" applyNumberFormat="1"/>
    <xf numFmtId="165" fontId="0" fillId="0" borderId="14" xfId="0" applyNumberFormat="1" applyBorder="1" applyAlignment="1">
      <alignment horizontal="center"/>
    </xf>
    <xf numFmtId="165" fontId="0" fillId="0" borderId="16" xfId="0" applyNumberFormat="1" applyBorder="1"/>
    <xf numFmtId="39" fontId="0" fillId="0" borderId="14" xfId="0" applyNumberFormat="1" applyBorder="1"/>
    <xf numFmtId="166" fontId="5" fillId="2" borderId="24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Alignment="1">
      <alignment horizontal="center" vertical="center"/>
    </xf>
    <xf numFmtId="166" fontId="1" fillId="2" borderId="25" xfId="0" applyNumberFormat="1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0" fontId="27" fillId="0" borderId="1" xfId="0" applyFont="1"/>
    <xf numFmtId="168" fontId="24" fillId="6" borderId="1" xfId="1" applyNumberFormat="1" applyFont="1" applyFill="1" applyBorder="1" applyAlignment="1">
      <alignment horizontal="right" vertical="center"/>
    </xf>
    <xf numFmtId="168" fontId="24" fillId="6" borderId="7" xfId="0" applyNumberFormat="1" applyFont="1" applyFill="1" applyBorder="1" applyAlignment="1">
      <alignment horizontal="right" vertical="center"/>
    </xf>
    <xf numFmtId="168" fontId="24" fillId="6" borderId="1" xfId="0" applyNumberFormat="1" applyFont="1" applyFill="1" applyAlignment="1">
      <alignment horizontal="right" vertical="center"/>
    </xf>
    <xf numFmtId="0" fontId="27" fillId="6" borderId="7" xfId="0" applyFont="1" applyFill="1" applyBorder="1"/>
    <xf numFmtId="3" fontId="24" fillId="6" borderId="7" xfId="0" applyNumberFormat="1" applyFont="1" applyFill="1" applyBorder="1" applyAlignment="1">
      <alignment horizontal="right" vertical="center"/>
    </xf>
    <xf numFmtId="166" fontId="24" fillId="6" borderId="1" xfId="0" applyNumberFormat="1" applyFont="1" applyFill="1" applyAlignment="1">
      <alignment horizontal="right" vertical="center"/>
    </xf>
    <xf numFmtId="166" fontId="24" fillId="6" borderId="7" xfId="0" applyNumberFormat="1" applyFont="1" applyFill="1" applyBorder="1" applyAlignment="1">
      <alignment horizontal="right" vertical="center"/>
    </xf>
    <xf numFmtId="10" fontId="28" fillId="6" borderId="7" xfId="2" applyNumberFormat="1" applyFont="1" applyFill="1" applyBorder="1" applyAlignment="1">
      <alignment horizontal="right" vertical="center"/>
    </xf>
    <xf numFmtId="10" fontId="28" fillId="6" borderId="7" xfId="0" applyNumberFormat="1" applyFont="1" applyFill="1" applyBorder="1" applyAlignment="1">
      <alignment horizontal="right" vertical="center"/>
    </xf>
    <xf numFmtId="3" fontId="24" fillId="6" borderId="1" xfId="0" applyNumberFormat="1" applyFont="1" applyFill="1" applyAlignment="1">
      <alignment horizontal="right" vertical="center"/>
    </xf>
    <xf numFmtId="4" fontId="24" fillId="6" borderId="1" xfId="0" applyNumberFormat="1" applyFont="1" applyFill="1" applyAlignment="1">
      <alignment horizontal="right" vertical="center"/>
    </xf>
    <xf numFmtId="4" fontId="24" fillId="6" borderId="7" xfId="0" applyNumberFormat="1" applyFont="1" applyFill="1" applyBorder="1" applyAlignment="1">
      <alignment horizontal="right" vertical="center"/>
    </xf>
    <xf numFmtId="167" fontId="24" fillId="6" borderId="1" xfId="0" applyNumberFormat="1" applyFont="1" applyFill="1" applyAlignment="1">
      <alignment horizontal="right" vertical="center"/>
    </xf>
    <xf numFmtId="0" fontId="10" fillId="0" borderId="1" xfId="0" applyFont="1" applyAlignment="1">
      <alignment wrapText="1"/>
    </xf>
    <xf numFmtId="10" fontId="12" fillId="0" borderId="1" xfId="0" applyNumberFormat="1" applyFont="1" applyAlignment="1">
      <alignment wrapText="1"/>
    </xf>
    <xf numFmtId="10" fontId="0" fillId="0" borderId="1" xfId="0" applyNumberFormat="1"/>
    <xf numFmtId="166" fontId="29" fillId="6" borderId="1" xfId="0" applyNumberFormat="1" applyFont="1" applyFill="1" applyAlignment="1">
      <alignment horizontal="right" vertical="center"/>
    </xf>
    <xf numFmtId="0" fontId="11" fillId="0" borderId="32" xfId="0" applyFont="1" applyBorder="1"/>
    <xf numFmtId="0" fontId="11" fillId="0" borderId="33" xfId="0" applyFont="1" applyBorder="1"/>
    <xf numFmtId="0" fontId="30" fillId="0" borderId="1" xfId="0" applyFont="1" applyAlignment="1">
      <alignment wrapText="1"/>
    </xf>
    <xf numFmtId="0" fontId="23" fillId="0" borderId="1" xfId="0" applyFont="1"/>
    <xf numFmtId="0" fontId="11" fillId="12" borderId="26" xfId="0" applyFont="1" applyFill="1" applyBorder="1"/>
    <xf numFmtId="0" fontId="11" fillId="12" borderId="27" xfId="0" applyFont="1" applyFill="1" applyBorder="1"/>
    <xf numFmtId="0" fontId="11" fillId="12" borderId="28" xfId="0" applyFont="1" applyFill="1" applyBorder="1"/>
    <xf numFmtId="0" fontId="11" fillId="12" borderId="27" xfId="0" quotePrefix="1" applyFont="1" applyFill="1" applyBorder="1"/>
    <xf numFmtId="0" fontId="11" fillId="12" borderId="28" xfId="0" quotePrefix="1" applyFont="1" applyFill="1" applyBorder="1"/>
    <xf numFmtId="0" fontId="11" fillId="12" borderId="29" xfId="0" applyFont="1" applyFill="1" applyBorder="1"/>
    <xf numFmtId="0" fontId="11" fillId="12" borderId="30" xfId="0" applyFont="1" applyFill="1" applyBorder="1"/>
    <xf numFmtId="0" fontId="11" fillId="12" borderId="31" xfId="0" applyFont="1" applyFill="1" applyBorder="1"/>
    <xf numFmtId="172" fontId="24" fillId="12" borderId="27" xfId="0" applyNumberFormat="1" applyFont="1" applyFill="1" applyBorder="1"/>
    <xf numFmtId="172" fontId="24" fillId="12" borderId="28" xfId="0" applyNumberFormat="1" applyFont="1" applyFill="1" applyBorder="1"/>
    <xf numFmtId="0" fontId="24" fillId="12" borderId="27" xfId="0" applyFont="1" applyFill="1" applyBorder="1"/>
    <xf numFmtId="0" fontId="24" fillId="12" borderId="28" xfId="0" applyFont="1" applyFill="1" applyBorder="1"/>
    <xf numFmtId="0" fontId="24" fillId="12" borderId="27" xfId="0" quotePrefix="1" applyFont="1" applyFill="1" applyBorder="1"/>
    <xf numFmtId="0" fontId="24" fillId="12" borderId="28" xfId="0" quotePrefix="1" applyFont="1" applyFill="1" applyBorder="1"/>
    <xf numFmtId="0" fontId="11" fillId="12" borderId="27" xfId="0" quotePrefix="1" applyFont="1" applyFill="1" applyBorder="1" applyAlignment="1">
      <alignment horizontal="center"/>
    </xf>
    <xf numFmtId="0" fontId="11" fillId="12" borderId="28" xfId="0" quotePrefix="1" applyFont="1" applyFill="1" applyBorder="1" applyAlignment="1">
      <alignment horizontal="center"/>
    </xf>
    <xf numFmtId="3" fontId="11" fillId="12" borderId="28" xfId="0" applyNumberFormat="1" applyFont="1" applyFill="1" applyBorder="1"/>
    <xf numFmtId="3" fontId="11" fillId="12" borderId="27" xfId="0" quotePrefix="1" applyNumberFormat="1" applyFont="1" applyFill="1" applyBorder="1"/>
    <xf numFmtId="4" fontId="25" fillId="12" borderId="27" xfId="0" applyNumberFormat="1" applyFont="1" applyFill="1" applyBorder="1"/>
    <xf numFmtId="4" fontId="25" fillId="12" borderId="28" xfId="0" applyNumberFormat="1" applyFont="1" applyFill="1" applyBorder="1"/>
    <xf numFmtId="4" fontId="11" fillId="12" borderId="27" xfId="0" applyNumberFormat="1" applyFont="1" applyFill="1" applyBorder="1"/>
    <xf numFmtId="4" fontId="11" fillId="12" borderId="28" xfId="0" applyNumberFormat="1" applyFont="1" applyFill="1" applyBorder="1"/>
    <xf numFmtId="170" fontId="0" fillId="0" borderId="1" xfId="0" applyNumberFormat="1"/>
    <xf numFmtId="171" fontId="0" fillId="11" borderId="8" xfId="2" applyNumberFormat="1" applyFont="1" applyFill="1" applyBorder="1"/>
    <xf numFmtId="0" fontId="0" fillId="11" borderId="7" xfId="0" applyFill="1" applyBorder="1"/>
    <xf numFmtId="173" fontId="2" fillId="6" borderId="1" xfId="1" applyNumberFormat="1" applyFont="1" applyFill="1" applyBorder="1" applyAlignment="1">
      <alignment horizontal="right" vertical="center"/>
    </xf>
    <xf numFmtId="168" fontId="6" fillId="6" borderId="34" xfId="0" applyNumberFormat="1" applyFont="1" applyFill="1" applyBorder="1" applyAlignment="1">
      <alignment horizontal="right" vertical="center"/>
    </xf>
    <xf numFmtId="3" fontId="2" fillId="6" borderId="7" xfId="0" applyNumberFormat="1" applyFont="1" applyFill="1" applyBorder="1" applyAlignment="1">
      <alignment horizontal="right" vertical="center"/>
    </xf>
    <xf numFmtId="173" fontId="6" fillId="6" borderId="1" xfId="0" applyNumberFormat="1" applyFont="1" applyFill="1" applyAlignment="1">
      <alignment horizontal="right" vertical="center"/>
    </xf>
    <xf numFmtId="174" fontId="2" fillId="6" borderId="1" xfId="0" applyNumberFormat="1" applyFont="1" applyFill="1" applyAlignment="1">
      <alignment horizontal="right" vertical="center"/>
    </xf>
    <xf numFmtId="173" fontId="2" fillId="6" borderId="7" xfId="0" applyNumberFormat="1" applyFont="1" applyFill="1" applyBorder="1" applyAlignment="1">
      <alignment horizontal="right" vertical="center"/>
    </xf>
    <xf numFmtId="3" fontId="2" fillId="7" borderId="7" xfId="0" applyNumberFormat="1" applyFont="1" applyFill="1" applyBorder="1" applyAlignment="1">
      <alignment horizontal="left" vertical="center" indent="1" shrinkToFit="1"/>
    </xf>
    <xf numFmtId="0" fontId="0" fillId="6" borderId="7" xfId="0" applyFill="1" applyBorder="1" applyAlignment="1">
      <alignment horizontal="right" vertical="center"/>
    </xf>
    <xf numFmtId="37" fontId="15" fillId="7" borderId="7" xfId="0" applyNumberFormat="1" applyFont="1" applyFill="1" applyBorder="1" applyAlignment="1">
      <alignment horizontal="left" vertical="center" indent="1" shrinkToFit="1"/>
    </xf>
    <xf numFmtId="166" fontId="29" fillId="6" borderId="7" xfId="0" applyNumberFormat="1" applyFont="1" applyFill="1" applyBorder="1" applyAlignment="1">
      <alignment horizontal="right" vertical="center"/>
    </xf>
    <xf numFmtId="3" fontId="29" fillId="6" borderId="7" xfId="0" applyNumberFormat="1" applyFont="1" applyFill="1" applyBorder="1" applyAlignment="1">
      <alignment horizontal="right" vertical="center"/>
    </xf>
    <xf numFmtId="10" fontId="16" fillId="7" borderId="7" xfId="0" applyNumberFormat="1" applyFont="1" applyFill="1" applyBorder="1" applyAlignment="1">
      <alignment horizontal="left" vertical="center" indent="1" shrinkToFit="1"/>
    </xf>
    <xf numFmtId="10" fontId="13" fillId="6" borderId="7" xfId="0" applyNumberFormat="1" applyFont="1" applyFill="1" applyBorder="1" applyAlignment="1">
      <alignment horizontal="right" vertical="center"/>
    </xf>
    <xf numFmtId="4" fontId="17" fillId="7" borderId="7" xfId="0" applyNumberFormat="1" applyFont="1" applyFill="1" applyBorder="1" applyAlignment="1">
      <alignment horizontal="left" vertical="center" indent="1" shrinkToFit="1"/>
    </xf>
    <xf numFmtId="0" fontId="31" fillId="0" borderId="1" xfId="0" applyFont="1"/>
    <xf numFmtId="0" fontId="32" fillId="0" borderId="1" xfId="0" applyFont="1"/>
    <xf numFmtId="166" fontId="31" fillId="0" borderId="1" xfId="0" applyNumberFormat="1" applyFont="1"/>
    <xf numFmtId="0" fontId="31" fillId="0" borderId="1" xfId="0" applyFont="1" applyAlignment="1">
      <alignment horizontal="left" wrapText="1" indent="4"/>
    </xf>
    <xf numFmtId="166" fontId="33" fillId="0" borderId="1" xfId="0" applyNumberFormat="1" applyFont="1"/>
    <xf numFmtId="0" fontId="31" fillId="0" borderId="1" xfId="0" applyFont="1" applyAlignment="1">
      <alignment horizontal="left" wrapText="1" indent="7"/>
    </xf>
    <xf numFmtId="166" fontId="32" fillId="0" borderId="3" xfId="0" applyNumberFormat="1" applyFont="1" applyBorder="1"/>
    <xf numFmtId="0" fontId="31" fillId="0" borderId="1" xfId="0" applyFont="1" applyAlignment="1">
      <alignment horizontal="left"/>
    </xf>
    <xf numFmtId="0" fontId="31" fillId="0" borderId="1" xfId="0" applyFont="1" applyAlignment="1">
      <alignment horizontal="left" indent="4"/>
    </xf>
    <xf numFmtId="0" fontId="31" fillId="0" borderId="1" xfId="0" applyFont="1" applyAlignment="1">
      <alignment horizontal="left" indent="7"/>
    </xf>
    <xf numFmtId="0" fontId="31" fillId="0" borderId="1" xfId="0" applyFont="1" applyAlignment="1">
      <alignment horizontal="left" indent="3"/>
    </xf>
    <xf numFmtId="0" fontId="31" fillId="0" borderId="1" xfId="0" applyFont="1" applyAlignment="1">
      <alignment horizontal="left" indent="6"/>
    </xf>
    <xf numFmtId="0" fontId="34" fillId="10" borderId="1" xfId="0" applyFont="1" applyFill="1"/>
    <xf numFmtId="0" fontId="2" fillId="10" borderId="1" xfId="0" applyFont="1" applyFill="1"/>
    <xf numFmtId="0" fontId="22" fillId="10" borderId="1" xfId="0" applyFont="1" applyFill="1"/>
    <xf numFmtId="0" fontId="5" fillId="10" borderId="1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EF28-AE38-A055-7EE8-74CCC9D40088}">
  <dimension ref="A1:Q79"/>
  <sheetViews>
    <sheetView showGridLines="0" workbookViewId="0">
      <selection activeCell="B2" sqref="B2"/>
    </sheetView>
  </sheetViews>
  <sheetFormatPr baseColWidth="10" defaultColWidth="9" defaultRowHeight="16" customHeight="1" x14ac:dyDescent="0.2"/>
  <cols>
    <col min="1" max="1" width="42.1640625" customWidth="1"/>
    <col min="2" max="5" width="12.5" customWidth="1"/>
    <col min="6" max="6" width="4.83203125" customWidth="1"/>
    <col min="7" max="7" width="11.5" customWidth="1"/>
    <col min="8" max="16" width="12.5" customWidth="1"/>
  </cols>
  <sheetData>
    <row r="1" spans="1:17" ht="15.75" customHeight="1" x14ac:dyDescent="0.2">
      <c r="A1" s="26"/>
      <c r="B1" s="27"/>
      <c r="C1" s="28"/>
      <c r="D1" s="28" t="s">
        <v>0</v>
      </c>
      <c r="E1" s="27"/>
      <c r="F1" s="57"/>
      <c r="G1" s="26"/>
      <c r="H1" s="28"/>
      <c r="I1" s="46" t="s">
        <v>1</v>
      </c>
      <c r="J1" s="26"/>
      <c r="K1" s="26"/>
      <c r="L1" s="26"/>
      <c r="M1" s="26"/>
      <c r="N1" s="26"/>
      <c r="O1" s="26"/>
      <c r="P1" s="26"/>
      <c r="Q1" s="26"/>
    </row>
    <row r="2" spans="1:17" ht="15.75" customHeight="1" x14ac:dyDescent="0.2">
      <c r="A2" s="60" t="s">
        <v>2</v>
      </c>
      <c r="B2" s="27" t="s">
        <v>3</v>
      </c>
      <c r="C2" s="27" t="s">
        <v>4</v>
      </c>
      <c r="D2" s="27" t="s">
        <v>5</v>
      </c>
      <c r="E2" s="27" t="s">
        <v>6</v>
      </c>
      <c r="F2" s="57"/>
      <c r="G2" s="26" t="s">
        <v>7</v>
      </c>
      <c r="H2" s="26" t="s">
        <v>8</v>
      </c>
      <c r="I2" s="26" t="s">
        <v>9</v>
      </c>
      <c r="J2" s="26" t="s">
        <v>10</v>
      </c>
      <c r="K2" s="26" t="s">
        <v>11</v>
      </c>
      <c r="L2" s="26"/>
      <c r="M2" s="26"/>
      <c r="N2" s="26"/>
      <c r="O2" s="26"/>
      <c r="P2" s="26"/>
      <c r="Q2" s="26"/>
    </row>
    <row r="3" spans="1:17" ht="15.75" customHeight="1" x14ac:dyDescent="0.2">
      <c r="A3" s="47" t="s">
        <v>12</v>
      </c>
      <c r="B3" s="150">
        <v>19944600</v>
      </c>
      <c r="C3" s="150">
        <v>22148900</v>
      </c>
      <c r="D3" s="150">
        <v>23051900</v>
      </c>
      <c r="E3" s="150">
        <v>23098500</v>
      </c>
      <c r="F3" s="61"/>
      <c r="G3" s="196">
        <f>'Revenue Build (FIXED)'!H4</f>
        <v>23675.962499999998</v>
      </c>
      <c r="H3" s="196">
        <f>'Revenue Build (FIXED)'!I4</f>
        <v>24741.380812499996</v>
      </c>
      <c r="I3" s="196">
        <f>'Revenue Build (FIXED)'!J4</f>
        <v>25780.518806624998</v>
      </c>
      <c r="J3" s="196">
        <f>'Revenue Build (FIXED)'!K4</f>
        <v>26811.73955889</v>
      </c>
      <c r="K3" s="196">
        <f>'Revenue Build (FIXED)'!L4</f>
        <v>27750.150443451148</v>
      </c>
      <c r="L3" s="39"/>
      <c r="M3" s="39"/>
      <c r="N3" s="39"/>
      <c r="O3" s="39"/>
      <c r="P3" s="39"/>
      <c r="Q3" s="39"/>
    </row>
    <row r="4" spans="1:17" ht="15.75" customHeight="1" x14ac:dyDescent="0.2">
      <c r="A4" s="58" t="s">
        <v>13</v>
      </c>
      <c r="B4" s="151">
        <v>11401900</v>
      </c>
      <c r="C4" s="151">
        <v>12823800</v>
      </c>
      <c r="D4" s="151">
        <v>12293800</v>
      </c>
      <c r="E4" s="151">
        <v>11903400</v>
      </c>
      <c r="F4" s="62"/>
      <c r="G4" s="201">
        <f>G36*G3</f>
        <v>12413.801766969316</v>
      </c>
      <c r="H4" s="201">
        <f t="shared" ref="H4:K4" si="0">H36*H3</f>
        <v>12861.226085741466</v>
      </c>
      <c r="I4" s="201">
        <f t="shared" si="0"/>
        <v>13459.331093688914</v>
      </c>
      <c r="J4" s="201">
        <f t="shared" si="0"/>
        <v>13967.578911016391</v>
      </c>
      <c r="K4" s="201">
        <f t="shared" si="0"/>
        <v>14472.034081074355</v>
      </c>
      <c r="L4" s="38"/>
      <c r="M4" s="38"/>
      <c r="N4" s="38"/>
      <c r="O4" s="38"/>
      <c r="P4" s="38"/>
      <c r="Q4" s="38"/>
    </row>
    <row r="5" spans="1:17" ht="15.75" customHeight="1" x14ac:dyDescent="0.2">
      <c r="A5" s="48" t="s">
        <v>14</v>
      </c>
      <c r="B5" s="86">
        <v>8542700</v>
      </c>
      <c r="C5" s="86">
        <v>9325100</v>
      </c>
      <c r="D5" s="86">
        <v>10758100</v>
      </c>
      <c r="E5" s="86">
        <v>11195100</v>
      </c>
      <c r="F5" s="63"/>
      <c r="G5" s="199">
        <f>G3-G4</f>
        <v>11262.160733030682</v>
      </c>
      <c r="H5" s="199">
        <f t="shared" ref="H5:K5" si="1">H3-H4</f>
        <v>11880.15472675853</v>
      </c>
      <c r="I5" s="199">
        <f t="shared" si="1"/>
        <v>12321.187712936084</v>
      </c>
      <c r="J5" s="199">
        <f t="shared" si="1"/>
        <v>12844.160647873608</v>
      </c>
      <c r="K5" s="199">
        <f t="shared" si="1"/>
        <v>13278.116362376793</v>
      </c>
      <c r="L5" s="38"/>
      <c r="M5" s="38"/>
      <c r="N5" s="38"/>
      <c r="O5" s="38"/>
      <c r="P5" s="38"/>
      <c r="Q5" s="38"/>
    </row>
    <row r="6" spans="1:17" ht="15.75" customHeight="1" x14ac:dyDescent="0.2">
      <c r="A6" s="49" t="s">
        <v>15</v>
      </c>
      <c r="B6" s="50">
        <f>B5/B3</f>
        <v>0.4283214504176569</v>
      </c>
      <c r="C6" s="50">
        <f>C5/C3</f>
        <v>0.42101865103910352</v>
      </c>
      <c r="D6" s="50">
        <f>D5/D3</f>
        <v>0.46669038127009055</v>
      </c>
      <c r="E6" s="50">
        <f>E5/E3</f>
        <v>0.48466783557373855</v>
      </c>
      <c r="F6" s="64"/>
      <c r="G6" s="50">
        <f>G4/G3</f>
        <v>0.52432089157808548</v>
      </c>
      <c r="H6" s="50">
        <f t="shared" ref="H6:K6" si="2">H4/H3</f>
        <v>0.51982652800217344</v>
      </c>
      <c r="I6" s="50">
        <f t="shared" si="2"/>
        <v>0.52207370979012946</v>
      </c>
      <c r="J6" s="50">
        <f t="shared" si="2"/>
        <v>0.52095011889615139</v>
      </c>
      <c r="K6" s="50">
        <f t="shared" si="2"/>
        <v>0.52151191434314037</v>
      </c>
      <c r="L6" s="39"/>
      <c r="M6" s="39"/>
      <c r="N6" s="39"/>
      <c r="O6" s="39"/>
      <c r="P6" s="39"/>
      <c r="Q6" s="39"/>
    </row>
    <row r="7" spans="1:17" ht="15.75" customHeight="1" x14ac:dyDescent="0.2">
      <c r="A7" s="47" t="s">
        <v>16</v>
      </c>
      <c r="B7" s="152">
        <f>B26-B12</f>
        <v>572600</v>
      </c>
      <c r="C7" s="152">
        <f>C26-C12</f>
        <v>581100</v>
      </c>
      <c r="D7" s="152">
        <v>624000</v>
      </c>
      <c r="E7" s="152">
        <v>622500</v>
      </c>
      <c r="F7" s="62"/>
      <c r="G7" s="200">
        <f>G37*G3</f>
        <v>658.89407320778548</v>
      </c>
      <c r="H7" s="200">
        <f t="shared" ref="H7:K7" si="3">H37*H3</f>
        <v>649.11649743977114</v>
      </c>
      <c r="I7" s="200">
        <f t="shared" si="3"/>
        <v>707.66255543688283</v>
      </c>
      <c r="J7" s="200">
        <f t="shared" si="3"/>
        <v>713.00281829776566</v>
      </c>
      <c r="K7" s="200">
        <f t="shared" si="3"/>
        <v>761.72797467226076</v>
      </c>
      <c r="L7" s="38"/>
      <c r="M7" s="38"/>
      <c r="N7" s="38"/>
      <c r="O7" s="38"/>
      <c r="P7" s="38"/>
      <c r="Q7" s="38"/>
    </row>
    <row r="8" spans="1:17" ht="15.75" customHeight="1" x14ac:dyDescent="0.2">
      <c r="A8" s="47" t="s">
        <v>17</v>
      </c>
      <c r="B8" s="152">
        <v>5878000</v>
      </c>
      <c r="C8" s="152">
        <v>6324500</v>
      </c>
      <c r="D8" s="152">
        <v>7151700</v>
      </c>
      <c r="E8" s="152">
        <v>7433200</v>
      </c>
      <c r="F8" s="62"/>
      <c r="G8" s="89"/>
      <c r="H8" s="54"/>
      <c r="I8" s="54"/>
      <c r="J8" s="54"/>
      <c r="K8" s="54"/>
      <c r="L8" s="39"/>
      <c r="M8" s="39"/>
      <c r="N8" s="39"/>
      <c r="O8" s="39"/>
      <c r="P8" s="39"/>
      <c r="Q8" s="39"/>
    </row>
    <row r="9" spans="1:17" ht="15.75" customHeight="1" x14ac:dyDescent="0.2">
      <c r="A9" s="47" t="s">
        <v>18</v>
      </c>
      <c r="B9" s="152">
        <v>5882000</v>
      </c>
      <c r="C9" s="152">
        <v>6331600</v>
      </c>
      <c r="D9" s="152">
        <v>7071000</v>
      </c>
      <c r="E9" s="152">
        <v>7434500</v>
      </c>
      <c r="F9" s="62"/>
      <c r="G9" s="89"/>
      <c r="H9" s="51"/>
      <c r="I9" s="54"/>
      <c r="J9" s="54"/>
      <c r="K9" s="54"/>
      <c r="L9" s="38"/>
      <c r="M9" s="38"/>
      <c r="N9" s="38"/>
      <c r="O9" s="38"/>
      <c r="P9" s="38"/>
      <c r="Q9" s="38"/>
    </row>
    <row r="10" spans="1:17" ht="15.75" customHeight="1" x14ac:dyDescent="0.2">
      <c r="A10" s="47" t="s">
        <v>19</v>
      </c>
      <c r="B10" s="152">
        <v>115900</v>
      </c>
      <c r="C10" s="152">
        <v>119300</v>
      </c>
      <c r="D10" s="152">
        <v>196600</v>
      </c>
      <c r="E10" s="152">
        <v>217300</v>
      </c>
      <c r="F10" s="65"/>
      <c r="G10" s="89"/>
      <c r="H10" s="51"/>
      <c r="I10" s="54"/>
      <c r="J10" s="54"/>
      <c r="K10" s="54"/>
      <c r="L10" s="38"/>
      <c r="M10" s="38"/>
      <c r="N10" s="38"/>
      <c r="O10" s="38"/>
      <c r="P10" s="38"/>
      <c r="Q10" s="38"/>
    </row>
    <row r="11" spans="1:17" ht="15" customHeight="1" x14ac:dyDescent="0.2">
      <c r="A11" s="58" t="s">
        <v>20</v>
      </c>
      <c r="B11" s="153"/>
      <c r="C11" s="154"/>
      <c r="D11" s="154"/>
      <c r="E11" s="154"/>
      <c r="F11" s="202"/>
      <c r="G11" s="198"/>
      <c r="H11" s="198"/>
      <c r="I11" s="203"/>
      <c r="J11" s="203"/>
      <c r="K11" s="203"/>
      <c r="L11" s="39"/>
      <c r="M11" s="39"/>
      <c r="N11" s="39"/>
      <c r="O11" s="39"/>
      <c r="P11" s="39"/>
      <c r="Q11" s="39"/>
    </row>
    <row r="12" spans="1:17" ht="15.75" customHeight="1" x14ac:dyDescent="0.2">
      <c r="A12" s="48" t="s">
        <v>21</v>
      </c>
      <c r="B12" s="86">
        <v>2583300</v>
      </c>
      <c r="C12" s="86">
        <v>2963900</v>
      </c>
      <c r="D12" s="86">
        <v>3527400</v>
      </c>
      <c r="E12" s="86">
        <v>3867500</v>
      </c>
      <c r="F12" s="87"/>
      <c r="G12" s="86"/>
      <c r="H12" s="88"/>
      <c r="I12" s="54"/>
      <c r="J12" s="54"/>
      <c r="K12" s="54"/>
      <c r="L12" s="38"/>
      <c r="M12" s="38"/>
      <c r="N12" s="38"/>
      <c r="O12" s="38"/>
      <c r="P12" s="38"/>
      <c r="Q12" s="38"/>
    </row>
    <row r="13" spans="1:17" ht="15.75" customHeight="1" x14ac:dyDescent="0.2">
      <c r="A13" s="49" t="s">
        <v>15</v>
      </c>
      <c r="B13" s="52">
        <f>B12/B3</f>
        <v>0.12952378087301827</v>
      </c>
      <c r="C13" s="52">
        <f>C12/C3</f>
        <v>0.13381702928813621</v>
      </c>
      <c r="D13" s="53">
        <f>D12/D3</f>
        <v>0.15301992460491326</v>
      </c>
      <c r="E13" s="52">
        <f>E12/E3</f>
        <v>0.1674351148342966</v>
      </c>
      <c r="F13" s="67"/>
      <c r="G13" s="52"/>
      <c r="H13" s="54"/>
      <c r="I13" s="54"/>
      <c r="J13" s="54"/>
      <c r="K13" s="54"/>
      <c r="L13" s="39"/>
      <c r="M13" s="39"/>
      <c r="N13" s="39"/>
      <c r="O13" s="39"/>
      <c r="P13" s="39"/>
      <c r="Q13" s="39"/>
    </row>
    <row r="14" spans="1:17" ht="15.75" customHeight="1" x14ac:dyDescent="0.2">
      <c r="A14" s="47" t="s">
        <v>22</v>
      </c>
      <c r="B14" s="152">
        <v>4900</v>
      </c>
      <c r="C14" s="152">
        <v>8000</v>
      </c>
      <c r="D14" s="152">
        <v>25200</v>
      </c>
      <c r="E14" s="152">
        <v>11000</v>
      </c>
      <c r="F14" s="90"/>
      <c r="G14" s="89"/>
      <c r="H14" s="54"/>
      <c r="I14" s="54"/>
      <c r="J14" s="54"/>
      <c r="K14" s="54"/>
      <c r="L14" s="38"/>
      <c r="M14" s="38"/>
      <c r="N14" s="38"/>
      <c r="O14" s="38"/>
      <c r="P14" s="38"/>
      <c r="Q14" s="38"/>
    </row>
    <row r="15" spans="1:17" ht="15.75" customHeight="1" x14ac:dyDescent="0.2">
      <c r="A15" s="47" t="s">
        <v>23</v>
      </c>
      <c r="B15" s="152">
        <v>334700</v>
      </c>
      <c r="C15" s="152">
        <v>390800</v>
      </c>
      <c r="D15" s="152">
        <v>417500</v>
      </c>
      <c r="E15" s="152">
        <v>415700</v>
      </c>
      <c r="F15" s="90"/>
      <c r="G15" s="89"/>
      <c r="H15" s="54"/>
      <c r="I15" s="54"/>
      <c r="J15" s="54"/>
      <c r="K15" s="54"/>
      <c r="L15" s="39"/>
      <c r="M15" s="39"/>
      <c r="N15" s="39"/>
      <c r="O15" s="39"/>
      <c r="P15" s="39"/>
      <c r="Q15" s="39"/>
    </row>
    <row r="16" spans="1:17" ht="15.75" customHeight="1" x14ac:dyDescent="0.2">
      <c r="A16" s="47" t="s">
        <v>24</v>
      </c>
      <c r="B16" s="155">
        <v>-340.1</v>
      </c>
      <c r="C16" s="155">
        <v>-395</v>
      </c>
      <c r="D16" s="155">
        <v>-407.3</v>
      </c>
      <c r="E16" s="155">
        <v>-420.4</v>
      </c>
      <c r="F16" s="68"/>
      <c r="G16" s="166">
        <v>-420.4</v>
      </c>
      <c r="H16" s="166">
        <v>-420.4</v>
      </c>
      <c r="I16" s="166">
        <v>-420.4</v>
      </c>
      <c r="J16" s="166">
        <v>-420.4</v>
      </c>
      <c r="K16" s="166">
        <v>-420.4</v>
      </c>
      <c r="L16" s="38"/>
      <c r="M16" s="38"/>
      <c r="N16" s="38"/>
      <c r="O16" s="38"/>
      <c r="P16" s="38"/>
      <c r="Q16" s="38"/>
    </row>
    <row r="17" spans="1:17" ht="15.75" customHeight="1" x14ac:dyDescent="0.2">
      <c r="A17" s="47" t="s">
        <v>25</v>
      </c>
      <c r="B17" s="155">
        <v>-76</v>
      </c>
      <c r="C17" s="155">
        <v>-32.5</v>
      </c>
      <c r="D17" s="155">
        <v>-89.2</v>
      </c>
      <c r="E17" s="155">
        <v>110.3</v>
      </c>
      <c r="F17" s="68"/>
      <c r="G17" s="166">
        <v>43.6</v>
      </c>
      <c r="H17" s="166">
        <v>43.6</v>
      </c>
      <c r="I17" s="166">
        <v>43.6</v>
      </c>
      <c r="J17" s="166">
        <v>43.6</v>
      </c>
      <c r="K17" s="166">
        <v>43.6</v>
      </c>
      <c r="L17" s="39"/>
      <c r="M17" s="39"/>
      <c r="N17" s="39"/>
      <c r="O17" s="39"/>
      <c r="P17" s="39"/>
      <c r="Q17" s="39"/>
    </row>
    <row r="18" spans="1:17" ht="15.75" customHeight="1" x14ac:dyDescent="0.2">
      <c r="A18" s="58" t="s">
        <v>26</v>
      </c>
      <c r="B18" s="156">
        <v>-4</v>
      </c>
      <c r="C18" s="156">
        <v>-7.1</v>
      </c>
      <c r="D18" s="156">
        <v>80.7</v>
      </c>
      <c r="E18" s="156">
        <v>-13</v>
      </c>
      <c r="F18" s="204"/>
      <c r="G18" s="205">
        <v>12.7</v>
      </c>
      <c r="H18" s="205">
        <v>12.7</v>
      </c>
      <c r="I18" s="205">
        <v>12.7</v>
      </c>
      <c r="J18" s="205">
        <v>12.7</v>
      </c>
      <c r="K18" s="205">
        <v>12.7</v>
      </c>
      <c r="L18" s="38"/>
      <c r="M18" s="38"/>
      <c r="N18" s="38"/>
      <c r="O18" s="38"/>
      <c r="P18" s="38"/>
      <c r="Q18" s="38"/>
    </row>
    <row r="19" spans="1:17" ht="15.75" customHeight="1" x14ac:dyDescent="0.2">
      <c r="A19" s="48" t="s">
        <v>27</v>
      </c>
      <c r="B19" s="86">
        <v>2248600</v>
      </c>
      <c r="C19" s="86">
        <v>2573100</v>
      </c>
      <c r="D19" s="86">
        <v>3109900</v>
      </c>
      <c r="E19" s="197">
        <v>3451800</v>
      </c>
      <c r="F19" s="87"/>
      <c r="G19" s="86"/>
      <c r="H19" s="54"/>
      <c r="I19" s="54"/>
      <c r="J19" s="54"/>
      <c r="K19" s="54"/>
      <c r="L19" s="39"/>
      <c r="M19" s="39"/>
      <c r="N19" s="39"/>
      <c r="O19" s="39"/>
      <c r="P19" s="39"/>
      <c r="Q19" s="39"/>
    </row>
    <row r="20" spans="1:17" ht="15.75" customHeight="1" x14ac:dyDescent="0.2">
      <c r="A20" s="47" t="s">
        <v>28</v>
      </c>
      <c r="B20" s="152">
        <v>384200</v>
      </c>
      <c r="C20" s="152">
        <v>553000</v>
      </c>
      <c r="D20" s="152">
        <v>721100</v>
      </c>
      <c r="E20" s="152">
        <v>770400</v>
      </c>
      <c r="F20" s="90"/>
      <c r="G20" s="89"/>
      <c r="H20" s="54"/>
      <c r="I20" s="54"/>
      <c r="J20" s="54"/>
      <c r="K20" s="54"/>
      <c r="L20" s="38"/>
      <c r="M20" s="45"/>
      <c r="N20" s="37"/>
      <c r="O20" s="37"/>
      <c r="P20" s="37"/>
      <c r="Q20" s="37"/>
    </row>
    <row r="21" spans="1:17" ht="15.75" customHeight="1" x14ac:dyDescent="0.2">
      <c r="A21" s="47" t="s">
        <v>29</v>
      </c>
      <c r="B21" s="152">
        <v>1864400</v>
      </c>
      <c r="C21" s="152">
        <v>2020100</v>
      </c>
      <c r="D21" s="152">
        <v>2388800</v>
      </c>
      <c r="E21" s="152">
        <v>2681400</v>
      </c>
      <c r="F21" s="90"/>
      <c r="G21" s="89"/>
      <c r="H21" s="54"/>
      <c r="I21" s="54"/>
      <c r="J21" s="54"/>
      <c r="K21" s="54"/>
      <c r="L21" s="39"/>
      <c r="M21" s="75"/>
      <c r="N21" s="2"/>
      <c r="O21" s="2"/>
      <c r="P21" s="2"/>
      <c r="Q21" s="2"/>
    </row>
    <row r="22" spans="1:17" ht="15.75" customHeight="1" x14ac:dyDescent="0.2">
      <c r="A22" s="58" t="s">
        <v>30</v>
      </c>
      <c r="B22" s="154">
        <v>0</v>
      </c>
      <c r="C22" s="154">
        <v>0</v>
      </c>
      <c r="D22" s="154">
        <v>0</v>
      </c>
      <c r="E22" s="154">
        <v>0</v>
      </c>
      <c r="F22" s="62"/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38"/>
      <c r="M22" s="34"/>
      <c r="N22" s="1"/>
      <c r="O22" s="1"/>
      <c r="P22" s="1"/>
      <c r="Q22" s="1"/>
    </row>
    <row r="23" spans="1:17" ht="15.75" customHeight="1" x14ac:dyDescent="0.2">
      <c r="A23" s="48" t="s">
        <v>31</v>
      </c>
      <c r="B23" s="86">
        <v>1864400</v>
      </c>
      <c r="C23" s="86">
        <v>2020100</v>
      </c>
      <c r="D23" s="86">
        <v>2388800</v>
      </c>
      <c r="E23" s="86">
        <v>2681400</v>
      </c>
      <c r="F23" s="87"/>
      <c r="G23" s="86"/>
      <c r="H23" s="54"/>
      <c r="I23" s="54"/>
      <c r="J23" s="54"/>
      <c r="K23" s="54"/>
      <c r="L23" s="39"/>
      <c r="M23" s="33"/>
      <c r="N23" s="2"/>
      <c r="O23" s="2"/>
      <c r="P23" s="2"/>
      <c r="Q23" s="2"/>
    </row>
    <row r="24" spans="1:17" ht="15.75" customHeight="1" x14ac:dyDescent="0.2">
      <c r="A24" s="49" t="s">
        <v>15</v>
      </c>
      <c r="B24" s="50">
        <f>B21/B3</f>
        <v>9.3478936654533051E-2</v>
      </c>
      <c r="C24" s="50">
        <f>C21/C3</f>
        <v>9.1205432323952881E-2</v>
      </c>
      <c r="D24" s="50">
        <f>D21/D3</f>
        <v>0.10362703291268832</v>
      </c>
      <c r="E24" s="50">
        <f>E21/E3</f>
        <v>0.11608546009481135</v>
      </c>
      <c r="F24" s="64"/>
      <c r="G24" s="50"/>
      <c r="H24" s="54"/>
      <c r="I24" s="54"/>
      <c r="J24" s="54"/>
      <c r="K24" s="54"/>
      <c r="L24" s="38"/>
      <c r="M24" s="34"/>
      <c r="N24" s="1"/>
      <c r="O24" s="1"/>
      <c r="P24" s="1"/>
      <c r="Q24" s="1"/>
    </row>
    <row r="25" spans="1:17" ht="15.75" customHeight="1" x14ac:dyDescent="0.2">
      <c r="A25" s="58" t="s">
        <v>16</v>
      </c>
      <c r="B25" s="151">
        <v>309500</v>
      </c>
      <c r="C25" s="151">
        <v>317100</v>
      </c>
      <c r="D25" s="151">
        <v>624000</v>
      </c>
      <c r="E25" s="151">
        <v>622500</v>
      </c>
      <c r="F25" s="90"/>
      <c r="G25" s="89"/>
      <c r="H25" s="54"/>
      <c r="I25" s="54"/>
      <c r="J25" s="55"/>
      <c r="K25" s="54"/>
      <c r="L25" s="31"/>
      <c r="M25" s="35"/>
      <c r="N25" s="2"/>
      <c r="O25" s="2"/>
      <c r="P25" s="2"/>
      <c r="Q25" s="2"/>
    </row>
    <row r="26" spans="1:17" ht="15.75" customHeight="1" x14ac:dyDescent="0.2">
      <c r="A26" s="48" t="s">
        <v>32</v>
      </c>
      <c r="B26" s="152">
        <v>3155900</v>
      </c>
      <c r="C26" s="152">
        <v>3545000</v>
      </c>
      <c r="D26" s="152">
        <v>4149900</v>
      </c>
      <c r="E26" s="152">
        <v>4491500</v>
      </c>
      <c r="F26" s="90"/>
      <c r="G26" s="89"/>
      <c r="H26" s="47"/>
      <c r="I26" s="51"/>
      <c r="J26" s="51"/>
      <c r="K26" s="51"/>
      <c r="L26" s="30"/>
      <c r="M26" s="35"/>
      <c r="N26" s="10"/>
      <c r="O26" s="10"/>
      <c r="P26" s="10"/>
      <c r="Q26" s="10"/>
    </row>
    <row r="27" spans="1:17" ht="15.75" customHeight="1" x14ac:dyDescent="0.2">
      <c r="A27" s="59" t="s">
        <v>15</v>
      </c>
      <c r="B27" s="157">
        <v>0.15820000000000001</v>
      </c>
      <c r="C27" s="157">
        <v>0.16009999999999999</v>
      </c>
      <c r="D27" s="158">
        <v>0.18</v>
      </c>
      <c r="E27" s="158">
        <v>0.19439999999999999</v>
      </c>
      <c r="F27" s="207"/>
      <c r="G27" s="208"/>
      <c r="H27" s="203"/>
      <c r="I27" s="203"/>
      <c r="J27" s="203"/>
      <c r="K27" s="203"/>
      <c r="L27" s="39"/>
      <c r="M27" s="33"/>
      <c r="N27" s="2"/>
      <c r="O27" s="2"/>
      <c r="P27" s="2"/>
      <c r="Q27" s="2"/>
    </row>
    <row r="28" spans="1:17" ht="15.75" customHeight="1" x14ac:dyDescent="0.2">
      <c r="A28" s="48" t="s">
        <v>33</v>
      </c>
      <c r="B28" s="159"/>
      <c r="C28" s="159"/>
      <c r="D28" s="159"/>
      <c r="E28" s="159"/>
      <c r="F28" s="66"/>
      <c r="G28" s="51"/>
      <c r="H28" s="54"/>
      <c r="I28" s="54"/>
      <c r="J28" s="54"/>
      <c r="K28" s="54"/>
      <c r="L28" s="38"/>
      <c r="M28" s="34"/>
      <c r="N28" s="1"/>
      <c r="O28" s="1"/>
      <c r="P28" s="1"/>
      <c r="Q28" s="1"/>
    </row>
    <row r="29" spans="1:17" ht="15.75" customHeight="1" x14ac:dyDescent="0.2">
      <c r="A29" s="47" t="s">
        <v>34</v>
      </c>
      <c r="B29" s="160">
        <v>7.1</v>
      </c>
      <c r="C29" s="160">
        <v>7.83</v>
      </c>
      <c r="D29" s="160">
        <v>9.35</v>
      </c>
      <c r="E29" s="160">
        <v>10.68</v>
      </c>
      <c r="F29" s="69"/>
      <c r="G29" s="160">
        <v>10.68</v>
      </c>
      <c r="H29" s="160">
        <v>10.68</v>
      </c>
      <c r="I29" s="160">
        <v>10.68</v>
      </c>
      <c r="J29" s="160">
        <v>10.68</v>
      </c>
      <c r="K29" s="160">
        <v>10.68</v>
      </c>
      <c r="L29" s="39"/>
      <c r="M29" s="33"/>
      <c r="N29" s="2"/>
      <c r="O29" s="2"/>
      <c r="P29" s="2"/>
      <c r="Q29" s="2"/>
    </row>
    <row r="30" spans="1:17" ht="15.75" customHeight="1" x14ac:dyDescent="0.2">
      <c r="A30" s="58" t="s">
        <v>35</v>
      </c>
      <c r="B30" s="161">
        <v>6.98</v>
      </c>
      <c r="C30" s="161">
        <v>7.72</v>
      </c>
      <c r="D30" s="161">
        <v>9.25</v>
      </c>
      <c r="E30" s="161">
        <v>10.55</v>
      </c>
      <c r="F30" s="209"/>
      <c r="G30" s="161">
        <v>10.55</v>
      </c>
      <c r="H30" s="161">
        <v>10.55</v>
      </c>
      <c r="I30" s="161">
        <v>10.55</v>
      </c>
      <c r="J30" s="161">
        <v>10.55</v>
      </c>
      <c r="K30" s="161">
        <v>10.55</v>
      </c>
      <c r="L30" s="38"/>
      <c r="M30" s="34"/>
      <c r="N30" s="1"/>
      <c r="O30" s="1"/>
      <c r="P30" s="1"/>
      <c r="Q30" s="1"/>
    </row>
    <row r="31" spans="1:17" ht="15.75" customHeight="1" x14ac:dyDescent="0.2">
      <c r="A31" s="48" t="s">
        <v>36</v>
      </c>
      <c r="B31" s="159"/>
      <c r="C31" s="159"/>
      <c r="D31" s="159"/>
      <c r="E31" s="159"/>
      <c r="F31" s="66"/>
      <c r="G31" s="51"/>
      <c r="H31" s="54"/>
      <c r="I31" s="54"/>
      <c r="J31" s="54"/>
      <c r="K31" s="54"/>
      <c r="L31" s="39"/>
      <c r="M31" s="33"/>
      <c r="N31" s="2"/>
      <c r="O31" s="2"/>
      <c r="P31" s="2"/>
      <c r="Q31" s="2"/>
    </row>
    <row r="32" spans="1:17" ht="15.75" customHeight="1" x14ac:dyDescent="0.2">
      <c r="A32" s="47" t="s">
        <v>34</v>
      </c>
      <c r="B32" s="162">
        <v>262.5</v>
      </c>
      <c r="C32" s="162">
        <v>251</v>
      </c>
      <c r="D32" s="162">
        <v>255.4</v>
      </c>
      <c r="E32" s="162">
        <v>258</v>
      </c>
      <c r="F32" s="70"/>
      <c r="G32" s="56">
        <v>258</v>
      </c>
      <c r="H32" s="56">
        <v>258</v>
      </c>
      <c r="I32" s="56">
        <v>258</v>
      </c>
      <c r="J32" s="56">
        <v>258</v>
      </c>
      <c r="K32" s="56">
        <v>258</v>
      </c>
      <c r="L32" s="38"/>
      <c r="M32" s="34"/>
      <c r="N32" s="1"/>
      <c r="O32" s="1"/>
      <c r="P32" s="1"/>
      <c r="Q32" s="1"/>
    </row>
    <row r="33" spans="1:17" ht="15.75" customHeight="1" x14ac:dyDescent="0.2">
      <c r="A33" s="47" t="s">
        <v>35</v>
      </c>
      <c r="B33" s="162">
        <v>267.10000000000002</v>
      </c>
      <c r="C33" s="162">
        <v>254.1</v>
      </c>
      <c r="D33" s="162">
        <v>258.3</v>
      </c>
      <c r="E33" s="162">
        <v>261.8</v>
      </c>
      <c r="F33" s="70"/>
      <c r="G33" s="56">
        <v>261.8</v>
      </c>
      <c r="H33" s="56">
        <v>261.8</v>
      </c>
      <c r="I33" s="56">
        <v>261.8</v>
      </c>
      <c r="J33" s="56">
        <v>261.8</v>
      </c>
      <c r="K33" s="56">
        <v>261.8</v>
      </c>
      <c r="L33" s="39"/>
      <c r="M33" s="33"/>
      <c r="N33" s="2"/>
      <c r="O33" s="2"/>
      <c r="P33" s="2"/>
      <c r="Q33" s="2"/>
    </row>
    <row r="34" spans="1:17" ht="15.75" customHeight="1" x14ac:dyDescent="0.2">
      <c r="A34" s="58"/>
      <c r="B34" s="154"/>
      <c r="C34" s="154"/>
      <c r="D34" s="154"/>
      <c r="E34" s="154"/>
      <c r="F34" s="202"/>
      <c r="G34" s="198"/>
      <c r="H34" s="203"/>
      <c r="I34" s="203"/>
      <c r="J34" s="203"/>
      <c r="K34" s="203"/>
      <c r="L34" s="38"/>
      <c r="M34" s="34"/>
      <c r="N34" s="1"/>
      <c r="O34" s="1"/>
      <c r="P34" s="1"/>
      <c r="Q34" s="1"/>
    </row>
    <row r="35" spans="1:17" ht="15.75" customHeight="1" x14ac:dyDescent="0.2">
      <c r="A35" s="48" t="s">
        <v>37</v>
      </c>
      <c r="B35" s="51"/>
      <c r="C35" s="51"/>
      <c r="D35" s="51"/>
      <c r="E35" s="51"/>
      <c r="F35" s="66"/>
      <c r="G35" s="51"/>
      <c r="H35" s="54"/>
      <c r="I35" s="54"/>
      <c r="J35" s="54"/>
      <c r="K35" s="54"/>
      <c r="L35" s="32"/>
      <c r="M35" s="36"/>
      <c r="N35" s="7"/>
      <c r="O35" s="2"/>
      <c r="P35" s="2"/>
      <c r="Q35" s="2"/>
    </row>
    <row r="36" spans="1:17" ht="15.75" customHeight="1" x14ac:dyDescent="0.2">
      <c r="A36" s="47" t="s">
        <v>13</v>
      </c>
      <c r="B36" s="40">
        <f>B4/B3</f>
        <v>0.5716785495823431</v>
      </c>
      <c r="C36" s="40">
        <f t="shared" ref="C36:E36" si="4">C4/C3</f>
        <v>0.57898134896089648</v>
      </c>
      <c r="D36" s="40">
        <f t="shared" si="4"/>
        <v>0.53330961872990945</v>
      </c>
      <c r="E36" s="40">
        <f t="shared" si="4"/>
        <v>0.5153321644262614</v>
      </c>
      <c r="F36" s="76"/>
      <c r="G36" s="41">
        <f>AVERAGE(D36,E36)</f>
        <v>0.52432089157808548</v>
      </c>
      <c r="H36" s="42">
        <f>AVERAGE(E36,G36)</f>
        <v>0.51982652800217344</v>
      </c>
      <c r="I36" s="42">
        <f>AVERAGE(G36,H36)</f>
        <v>0.52207370979012946</v>
      </c>
      <c r="J36" s="42">
        <f>AVERAGE(H36,I36)</f>
        <v>0.52095011889615139</v>
      </c>
      <c r="K36" s="42">
        <f>AVERAGE(I36,J36)</f>
        <v>0.52151191434314037</v>
      </c>
      <c r="L36" s="31"/>
      <c r="M36" s="35"/>
      <c r="N36" s="10"/>
      <c r="O36" s="1"/>
      <c r="P36" s="1"/>
      <c r="Q36" s="1"/>
    </row>
    <row r="37" spans="1:17" ht="15.75" customHeight="1" x14ac:dyDescent="0.2">
      <c r="A37" s="47" t="s">
        <v>38</v>
      </c>
      <c r="B37" s="40">
        <f>B7/B3</f>
        <v>2.870952538531733E-2</v>
      </c>
      <c r="C37" s="40">
        <f t="shared" ref="C37:E37" si="5">C7/C3</f>
        <v>2.6236065899435185E-2</v>
      </c>
      <c r="D37" s="40">
        <f t="shared" si="5"/>
        <v>2.7069352200903181E-2</v>
      </c>
      <c r="E37" s="40">
        <f t="shared" si="5"/>
        <v>2.6949801935190597E-2</v>
      </c>
      <c r="F37" s="76"/>
      <c r="G37" s="41">
        <f>AVERAGE(B37,E37)</f>
        <v>2.7829663660253964E-2</v>
      </c>
      <c r="H37" s="41">
        <f t="shared" ref="H37:K40" si="6">AVERAGE(C37,F37)</f>
        <v>2.6236065899435185E-2</v>
      </c>
      <c r="I37" s="41">
        <f t="shared" si="6"/>
        <v>2.7449507930578571E-2</v>
      </c>
      <c r="J37" s="41">
        <f t="shared" si="6"/>
        <v>2.6592933917312891E-2</v>
      </c>
      <c r="K37" s="41">
        <f t="shared" si="6"/>
        <v>2.7449507930578571E-2</v>
      </c>
      <c r="L37" s="32"/>
      <c r="M37" s="36"/>
      <c r="N37" s="7"/>
      <c r="O37" s="2"/>
      <c r="P37" s="2"/>
      <c r="Q37" s="2"/>
    </row>
    <row r="38" spans="1:17" ht="15.75" customHeight="1" x14ac:dyDescent="0.2">
      <c r="A38" s="47" t="s">
        <v>39</v>
      </c>
      <c r="B38" s="40">
        <f>B9/B3</f>
        <v>0.29491691986803448</v>
      </c>
      <c r="C38" s="40">
        <f t="shared" ref="C38:E38" si="7">C9/C3</f>
        <v>0.28586521226787787</v>
      </c>
      <c r="D38" s="40">
        <f t="shared" si="7"/>
        <v>0.30674261123811919</v>
      </c>
      <c r="E38" s="40">
        <f t="shared" si="7"/>
        <v>0.32186072688702727</v>
      </c>
      <c r="F38" s="76"/>
      <c r="G38" s="41">
        <f>AVERAGE(B38,E38)</f>
        <v>0.30838882337753087</v>
      </c>
      <c r="H38" s="41">
        <f t="shared" si="6"/>
        <v>0.28586521226787787</v>
      </c>
      <c r="I38" s="41">
        <f t="shared" si="6"/>
        <v>0.307565717307825</v>
      </c>
      <c r="J38" s="41">
        <f t="shared" si="6"/>
        <v>0.30386296957745257</v>
      </c>
      <c r="K38" s="41">
        <f t="shared" si="6"/>
        <v>0.307565717307825</v>
      </c>
      <c r="L38" s="31"/>
      <c r="M38" s="35"/>
      <c r="N38" s="10"/>
      <c r="O38" s="1"/>
      <c r="P38" s="1"/>
      <c r="Q38" s="1"/>
    </row>
    <row r="39" spans="1:17" ht="15.75" customHeight="1" x14ac:dyDescent="0.2">
      <c r="A39" s="47" t="s">
        <v>19</v>
      </c>
      <c r="B39" s="40">
        <f>B10/B3</f>
        <v>5.8110967379641611E-3</v>
      </c>
      <c r="C39" s="40">
        <f t="shared" ref="C39:E39" si="8">C10/C3</f>
        <v>5.3862720044787777E-3</v>
      </c>
      <c r="D39" s="40">
        <f t="shared" si="8"/>
        <v>8.5285811581691743E-3</v>
      </c>
      <c r="E39" s="40">
        <f t="shared" si="8"/>
        <v>9.4075372859709506E-3</v>
      </c>
      <c r="F39" s="76"/>
      <c r="G39" s="41">
        <f>AVERAGE(B39,E39)</f>
        <v>7.6093170119675563E-3</v>
      </c>
      <c r="H39" s="41">
        <f t="shared" si="6"/>
        <v>5.3862720044787777E-3</v>
      </c>
      <c r="I39" s="41">
        <f t="shared" si="6"/>
        <v>8.0689490850683644E-3</v>
      </c>
      <c r="J39" s="41">
        <f t="shared" si="6"/>
        <v>7.3969046452248641E-3</v>
      </c>
      <c r="K39" s="41">
        <f t="shared" si="6"/>
        <v>8.0689490850683644E-3</v>
      </c>
      <c r="L39" s="32"/>
      <c r="M39" s="36"/>
      <c r="N39" s="7"/>
      <c r="O39" s="2"/>
      <c r="P39" s="2"/>
      <c r="Q39" s="2"/>
    </row>
    <row r="40" spans="1:17" ht="15.75" customHeight="1" x14ac:dyDescent="0.2">
      <c r="A40" s="47" t="s">
        <v>23</v>
      </c>
      <c r="B40" s="40">
        <f>B15/B3</f>
        <v>1.6781484712654053E-2</v>
      </c>
      <c r="C40" s="40">
        <f t="shared" ref="C40:E40" si="9">C15/C3</f>
        <v>1.7644217094302653E-2</v>
      </c>
      <c r="D40" s="40">
        <f t="shared" si="9"/>
        <v>1.8111305358777367E-2</v>
      </c>
      <c r="E40" s="40">
        <f t="shared" si="9"/>
        <v>1.799683962162045E-2</v>
      </c>
      <c r="F40" s="76"/>
      <c r="G40" s="41">
        <f>AVERAGE(B40,E40)</f>
        <v>1.7389162167137252E-2</v>
      </c>
      <c r="H40" s="41">
        <f t="shared" si="6"/>
        <v>1.7644217094302653E-2</v>
      </c>
      <c r="I40" s="41">
        <f t="shared" si="6"/>
        <v>1.7750233762957309E-2</v>
      </c>
      <c r="J40" s="41">
        <f t="shared" si="6"/>
        <v>1.7820528357961551E-2</v>
      </c>
      <c r="K40" s="41">
        <f t="shared" si="6"/>
        <v>1.7750233762957309E-2</v>
      </c>
      <c r="L40" s="31"/>
      <c r="M40" s="35"/>
      <c r="N40" s="10"/>
      <c r="O40" s="1"/>
      <c r="P40" s="1"/>
      <c r="Q40" s="1"/>
    </row>
    <row r="41" spans="1:17" ht="15.75" customHeight="1" x14ac:dyDescent="0.2">
      <c r="A41" s="47" t="s">
        <v>40</v>
      </c>
      <c r="B41" s="40">
        <v>0.21</v>
      </c>
      <c r="C41" s="40">
        <v>0.21</v>
      </c>
      <c r="D41" s="40">
        <v>0.21</v>
      </c>
      <c r="E41" s="40">
        <v>0.21</v>
      </c>
      <c r="F41" s="76"/>
      <c r="G41" s="41">
        <v>0.21</v>
      </c>
      <c r="H41" s="41">
        <v>0.21</v>
      </c>
      <c r="I41" s="41">
        <v>0.21</v>
      </c>
      <c r="J41" s="41">
        <v>0.21</v>
      </c>
      <c r="K41" s="41">
        <v>0.21</v>
      </c>
      <c r="L41" s="32"/>
      <c r="M41" s="36"/>
      <c r="N41" s="7"/>
      <c r="O41" s="2"/>
      <c r="P41" s="2"/>
      <c r="Q41" s="2"/>
    </row>
    <row r="42" spans="1:17" ht="15.75" customHeight="1" x14ac:dyDescent="0.2">
      <c r="A42" s="29"/>
      <c r="B42" s="32"/>
      <c r="C42" s="32"/>
      <c r="D42" s="32"/>
      <c r="E42" s="32"/>
      <c r="F42" s="32"/>
      <c r="G42" s="43"/>
      <c r="H42" s="29"/>
      <c r="I42" s="32"/>
      <c r="J42" s="32"/>
      <c r="K42" s="31"/>
      <c r="L42" s="31"/>
      <c r="M42" s="35"/>
      <c r="N42" s="1"/>
      <c r="O42" s="1"/>
      <c r="P42" s="1"/>
    </row>
    <row r="43" spans="1:17" ht="15.75" customHeight="1" x14ac:dyDescent="0.2">
      <c r="A43" s="30"/>
      <c r="B43" s="31"/>
      <c r="C43" s="31"/>
      <c r="D43" s="31"/>
      <c r="E43" s="31"/>
      <c r="F43" s="31"/>
      <c r="G43" s="44"/>
      <c r="H43" s="30"/>
      <c r="I43" s="31"/>
      <c r="J43" s="31"/>
      <c r="K43" s="32"/>
      <c r="L43" s="32"/>
      <c r="M43" s="36"/>
      <c r="N43" s="2"/>
      <c r="O43" s="2"/>
      <c r="P43" s="2"/>
    </row>
    <row r="44" spans="1:17" ht="15.75" customHeight="1" x14ac:dyDescent="0.2">
      <c r="A44" s="29"/>
      <c r="B44" s="32"/>
      <c r="C44" s="32"/>
      <c r="D44" s="32"/>
      <c r="E44" s="32"/>
      <c r="F44" s="32"/>
      <c r="G44" s="43"/>
      <c r="H44" s="29"/>
      <c r="I44" s="32"/>
      <c r="J44" s="32"/>
      <c r="K44" s="31"/>
      <c r="L44" s="31"/>
      <c r="M44" s="35"/>
      <c r="N44" s="1"/>
      <c r="O44" s="1"/>
      <c r="P44" s="1"/>
    </row>
    <row r="45" spans="1:17" ht="15.75" customHeight="1" x14ac:dyDescent="0.2">
      <c r="A45" s="30"/>
      <c r="B45" s="31"/>
      <c r="C45" s="31"/>
      <c r="D45" s="31"/>
      <c r="E45" s="31"/>
      <c r="F45" s="31"/>
      <c r="G45" s="38"/>
      <c r="H45" s="30"/>
      <c r="I45" s="31"/>
      <c r="J45" s="31"/>
      <c r="K45" s="32"/>
      <c r="L45" s="32"/>
      <c r="M45" s="36"/>
      <c r="N45" s="2"/>
      <c r="O45" s="2"/>
      <c r="P45" s="2"/>
    </row>
    <row r="46" spans="1:17" ht="15.75" customHeight="1" x14ac:dyDescent="0.2">
      <c r="A46" s="25"/>
      <c r="B46" s="23"/>
      <c r="C46" s="23"/>
      <c r="D46" s="23"/>
      <c r="E46" s="23"/>
      <c r="F46" s="23"/>
      <c r="G46" s="24"/>
      <c r="H46" s="25"/>
      <c r="I46" s="23"/>
      <c r="J46" s="23"/>
      <c r="K46" s="37"/>
      <c r="L46" s="37"/>
      <c r="M46" s="1"/>
      <c r="N46" s="1"/>
      <c r="O46" s="1"/>
      <c r="P46" s="1"/>
    </row>
    <row r="47" spans="1:17" ht="15.75" customHeight="1" x14ac:dyDescent="0.2">
      <c r="A47" s="9"/>
      <c r="B47" s="10"/>
      <c r="C47" s="10"/>
      <c r="D47" s="10"/>
      <c r="E47" s="10"/>
      <c r="F47" s="10"/>
      <c r="G47" s="1"/>
      <c r="H47" s="1"/>
      <c r="I47" s="1"/>
      <c r="J47" s="1"/>
      <c r="K47" s="2"/>
      <c r="L47" s="2"/>
      <c r="M47" s="2"/>
      <c r="N47" s="2"/>
      <c r="O47" s="2"/>
      <c r="P47" s="2"/>
    </row>
    <row r="48" spans="1:17" ht="15.75" customHeight="1" x14ac:dyDescent="0.2">
      <c r="A48" s="8"/>
      <c r="B48" s="7"/>
      <c r="C48" s="7"/>
      <c r="D48" s="7"/>
      <c r="E48" s="7"/>
      <c r="F48" s="7"/>
      <c r="G48" s="2"/>
      <c r="H48" s="2"/>
      <c r="I48" s="2"/>
      <c r="J48" s="2"/>
      <c r="K48" s="1"/>
      <c r="L48" s="1"/>
      <c r="M48" s="1"/>
      <c r="N48" s="1"/>
      <c r="O48" s="1"/>
      <c r="P48" s="1"/>
    </row>
    <row r="49" spans="1:16" ht="15.75" customHeight="1" x14ac:dyDescent="0.2">
      <c r="A49" s="9"/>
      <c r="B49" s="10"/>
      <c r="C49" s="10"/>
      <c r="D49" s="10"/>
      <c r="E49" s="10"/>
      <c r="F49" s="10"/>
      <c r="G49" s="1"/>
      <c r="H49" s="1"/>
      <c r="I49" s="1"/>
      <c r="J49" s="1"/>
      <c r="K49" s="2"/>
      <c r="L49" s="2"/>
      <c r="M49" s="2"/>
      <c r="N49" s="2"/>
      <c r="O49" s="2"/>
      <c r="P49" s="2"/>
    </row>
    <row r="50" spans="1:16" ht="15.75" customHeight="1" x14ac:dyDescent="0.2">
      <c r="A50" s="8"/>
      <c r="B50" s="7"/>
      <c r="C50" s="7"/>
      <c r="D50" s="7"/>
      <c r="E50" s="7"/>
      <c r="F50" s="7"/>
      <c r="G50" s="2"/>
      <c r="H50" s="2"/>
      <c r="I50" s="2"/>
      <c r="J50" s="2"/>
      <c r="K50" s="1"/>
      <c r="L50" s="1"/>
      <c r="M50" s="1"/>
      <c r="N50" s="1"/>
      <c r="O50" s="1"/>
      <c r="P50" s="1"/>
    </row>
    <row r="51" spans="1:16" ht="15.75" customHeight="1" x14ac:dyDescent="0.2">
      <c r="A51" s="9"/>
      <c r="B51" s="10"/>
      <c r="C51" s="10"/>
      <c r="D51" s="10"/>
      <c r="E51" s="10"/>
      <c r="F51" s="10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ht="16" customHeight="1" x14ac:dyDescent="0.2">
      <c r="A52" s="8"/>
      <c r="B52" s="7"/>
      <c r="C52" s="7"/>
      <c r="D52" s="7"/>
      <c r="E52" s="7"/>
      <c r="F52" s="7"/>
      <c r="G52" s="2"/>
      <c r="H52" s="2"/>
      <c r="I52" s="2"/>
      <c r="J52" s="2"/>
      <c r="K52" s="1"/>
      <c r="L52" s="1"/>
      <c r="M52" s="1"/>
      <c r="N52" s="1"/>
      <c r="O52" s="1"/>
      <c r="P52" s="1"/>
    </row>
    <row r="53" spans="1:16" ht="16" customHeight="1" x14ac:dyDescent="0.2">
      <c r="A53" s="9"/>
      <c r="B53" s="10"/>
      <c r="C53" s="10"/>
      <c r="D53" s="10"/>
      <c r="E53" s="10"/>
      <c r="F53" s="10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ht="16" customHeight="1" x14ac:dyDescent="0.2">
      <c r="A54" s="8"/>
      <c r="B54" s="7"/>
      <c r="C54" s="7"/>
      <c r="D54" s="7"/>
      <c r="E54" s="7"/>
      <c r="F54" s="7"/>
      <c r="G54" s="2"/>
      <c r="H54" s="2"/>
      <c r="I54" s="2"/>
      <c r="J54" s="2"/>
      <c r="K54" s="1"/>
      <c r="L54" s="1"/>
      <c r="M54" s="1"/>
      <c r="N54" s="1"/>
      <c r="O54" s="1"/>
      <c r="P54" s="1"/>
    </row>
    <row r="55" spans="1:16" ht="16" customHeight="1" x14ac:dyDescent="0.2">
      <c r="A55" s="9"/>
      <c r="B55" s="10"/>
      <c r="C55" s="10"/>
      <c r="D55" s="10"/>
      <c r="E55" s="10"/>
      <c r="F55" s="10"/>
      <c r="G55" s="1"/>
      <c r="H55" s="1"/>
      <c r="I55" s="1"/>
      <c r="J55" s="1"/>
      <c r="K55" s="2"/>
      <c r="L55" s="2"/>
      <c r="M55" s="2"/>
      <c r="N55" s="2"/>
      <c r="O55" s="2"/>
      <c r="P55" s="2"/>
    </row>
    <row r="56" spans="1:16" ht="16" customHeight="1" x14ac:dyDescent="0.2">
      <c r="A56" s="6"/>
      <c r="B56" s="6"/>
      <c r="C56" s="6"/>
      <c r="D56" s="6"/>
      <c r="E56" s="6"/>
      <c r="F56" s="6"/>
      <c r="G56" s="2"/>
      <c r="H56" s="2"/>
      <c r="I56" s="2"/>
      <c r="J56" s="2"/>
      <c r="K56" s="1"/>
      <c r="L56" s="1"/>
      <c r="M56" s="1"/>
      <c r="N56" s="1"/>
      <c r="O56" s="1"/>
      <c r="P56" s="1"/>
    </row>
    <row r="57" spans="1:16" ht="16" customHeight="1" x14ac:dyDescent="0.2">
      <c r="A57" s="5"/>
      <c r="B57" s="5"/>
      <c r="C57" s="5"/>
      <c r="D57" s="5"/>
      <c r="E57" s="5"/>
      <c r="F57" s="5"/>
      <c r="G57" s="1"/>
      <c r="H57" s="1"/>
      <c r="I57" s="1"/>
      <c r="J57" s="1"/>
      <c r="K57" s="2"/>
      <c r="L57" s="2"/>
      <c r="M57" s="2"/>
      <c r="N57" s="2"/>
      <c r="O57" s="2"/>
      <c r="P57" s="2"/>
    </row>
    <row r="58" spans="1:16" ht="16" customHeight="1" x14ac:dyDescent="0.2">
      <c r="A58" s="6"/>
      <c r="B58" s="6"/>
      <c r="C58" s="6"/>
      <c r="D58" s="6"/>
      <c r="E58" s="6"/>
      <c r="F58" s="6"/>
      <c r="G58" s="2"/>
      <c r="H58" s="2"/>
      <c r="I58" s="2"/>
      <c r="J58" s="2"/>
      <c r="K58" s="1"/>
      <c r="L58" s="1"/>
      <c r="M58" s="1"/>
      <c r="N58" s="1"/>
      <c r="O58" s="1"/>
      <c r="P58" s="1"/>
    </row>
    <row r="59" spans="1:16" ht="16" customHeight="1" x14ac:dyDescent="0.2">
      <c r="A59" s="5"/>
      <c r="B59" s="5"/>
      <c r="C59" s="5"/>
      <c r="D59" s="5"/>
      <c r="E59" s="5"/>
      <c r="F59" s="5"/>
      <c r="G59" s="1"/>
      <c r="H59" s="1"/>
      <c r="I59" s="1"/>
      <c r="J59" s="1"/>
      <c r="K59" s="7">
        <v>-89200</v>
      </c>
      <c r="L59" s="7">
        <v>110300</v>
      </c>
      <c r="M59" s="7">
        <v>43600</v>
      </c>
      <c r="N59" s="2"/>
      <c r="O59" s="2"/>
      <c r="P59" s="2"/>
    </row>
    <row r="60" spans="1:16" ht="16" customHeight="1" x14ac:dyDescent="0.2">
      <c r="A60" s="8" t="s">
        <v>29</v>
      </c>
      <c r="B60" s="7">
        <v>1864400</v>
      </c>
      <c r="C60" s="7">
        <v>2020100</v>
      </c>
      <c r="D60" s="7">
        <v>2388800</v>
      </c>
      <c r="E60" s="7">
        <v>2681400</v>
      </c>
      <c r="F60" s="7">
        <v>2544900</v>
      </c>
      <c r="G60" s="2"/>
      <c r="H60" s="8" t="s">
        <v>25</v>
      </c>
      <c r="I60" s="7">
        <v>-76000</v>
      </c>
      <c r="J60" s="7">
        <v>-32500</v>
      </c>
      <c r="K60" s="10">
        <v>-57600</v>
      </c>
      <c r="L60" s="10">
        <v>13000</v>
      </c>
      <c r="M60" s="10">
        <v>-6500</v>
      </c>
      <c r="N60" s="1"/>
      <c r="O60" s="1"/>
      <c r="P60" s="1"/>
    </row>
    <row r="61" spans="1:16" ht="16" customHeight="1" x14ac:dyDescent="0.2">
      <c r="A61" s="9" t="s">
        <v>41</v>
      </c>
      <c r="B61" s="10">
        <v>1864400</v>
      </c>
      <c r="C61" s="10">
        <v>2020100</v>
      </c>
      <c r="D61" s="10">
        <v>2388800</v>
      </c>
      <c r="E61" s="10">
        <v>2681400</v>
      </c>
      <c r="F61" s="10">
        <v>2544900</v>
      </c>
      <c r="G61" s="1"/>
      <c r="H61" s="9" t="s">
        <v>42</v>
      </c>
      <c r="I61" s="10">
        <v>18400</v>
      </c>
      <c r="J61" s="10">
        <v>-43300</v>
      </c>
      <c r="K61" s="7">
        <v>-51500</v>
      </c>
      <c r="L61" s="7">
        <v>49900</v>
      </c>
      <c r="M61" s="7">
        <v>30100</v>
      </c>
      <c r="N61" s="2"/>
      <c r="O61" s="2"/>
      <c r="P61" s="2"/>
    </row>
    <row r="62" spans="1:16" ht="16" customHeight="1" x14ac:dyDescent="0.2">
      <c r="A62" s="8" t="s">
        <v>43</v>
      </c>
      <c r="B62" s="7">
        <v>7.1</v>
      </c>
      <c r="C62" s="7">
        <v>7.83</v>
      </c>
      <c r="D62" s="7">
        <v>9.35</v>
      </c>
      <c r="E62" s="7">
        <v>10.68</v>
      </c>
      <c r="F62" s="7">
        <v>10.199999999999999</v>
      </c>
      <c r="G62" s="2"/>
      <c r="H62" s="8" t="s">
        <v>44</v>
      </c>
      <c r="I62" s="7">
        <v>-104400</v>
      </c>
      <c r="J62" s="7">
        <v>2300</v>
      </c>
      <c r="K62" s="10">
        <v>0</v>
      </c>
      <c r="L62" s="10">
        <v>15500</v>
      </c>
      <c r="M62" s="10">
        <v>57900</v>
      </c>
      <c r="N62" s="1"/>
      <c r="O62" s="1"/>
      <c r="P62" s="1"/>
    </row>
    <row r="63" spans="1:16" ht="16" customHeight="1" x14ac:dyDescent="0.2">
      <c r="A63" s="9" t="s">
        <v>45</v>
      </c>
      <c r="B63" s="10">
        <v>6.98</v>
      </c>
      <c r="C63" s="10">
        <v>7.72</v>
      </c>
      <c r="D63" s="10">
        <v>9.25</v>
      </c>
      <c r="E63" s="10">
        <v>10.55</v>
      </c>
      <c r="F63" s="10">
        <v>10.08</v>
      </c>
      <c r="G63" s="1"/>
      <c r="H63" s="9" t="s">
        <v>46</v>
      </c>
      <c r="I63" s="3"/>
      <c r="J63" s="3"/>
      <c r="K63" s="7">
        <v>57900</v>
      </c>
      <c r="L63" s="7">
        <v>0</v>
      </c>
      <c r="M63" s="7">
        <v>0</v>
      </c>
      <c r="N63" s="2"/>
      <c r="O63" s="2"/>
      <c r="P63" s="2"/>
    </row>
    <row r="64" spans="1:16" ht="16" customHeight="1" x14ac:dyDescent="0.2">
      <c r="A64" s="8" t="s">
        <v>47</v>
      </c>
      <c r="B64" s="7">
        <v>262500</v>
      </c>
      <c r="C64" s="7">
        <v>258000</v>
      </c>
      <c r="D64" s="7">
        <v>255400</v>
      </c>
      <c r="E64" s="7">
        <v>251000</v>
      </c>
      <c r="F64" s="7">
        <v>249550</v>
      </c>
      <c r="G64" s="2"/>
      <c r="H64" s="8" t="s">
        <v>48</v>
      </c>
      <c r="I64" s="7"/>
      <c r="J64" s="7">
        <v>15500</v>
      </c>
      <c r="K64" s="10"/>
      <c r="L64" s="10">
        <v>12800</v>
      </c>
      <c r="M64" s="10"/>
      <c r="N64" s="1"/>
      <c r="O64" s="1"/>
      <c r="P64" s="1"/>
    </row>
    <row r="65" spans="1:16" ht="16" customHeight="1" x14ac:dyDescent="0.2">
      <c r="A65" s="9" t="s">
        <v>49</v>
      </c>
      <c r="B65" s="10">
        <v>267100</v>
      </c>
      <c r="C65" s="10">
        <v>261800</v>
      </c>
      <c r="D65" s="10">
        <v>258300</v>
      </c>
      <c r="E65" s="10">
        <v>254100</v>
      </c>
      <c r="F65" s="10">
        <v>252500</v>
      </c>
      <c r="G65" s="1"/>
      <c r="H65" s="9" t="s">
        <v>50</v>
      </c>
      <c r="I65" s="3"/>
      <c r="J65" s="10">
        <v>-1400</v>
      </c>
      <c r="K65" s="7">
        <v>20100</v>
      </c>
      <c r="L65" s="7">
        <v>20100</v>
      </c>
      <c r="M65" s="7"/>
      <c r="N65" s="2"/>
      <c r="O65" s="2"/>
      <c r="P65" s="2"/>
    </row>
    <row r="66" spans="1:16" ht="16" customHeight="1" x14ac:dyDescent="0.2">
      <c r="A66" s="8" t="s">
        <v>51</v>
      </c>
      <c r="B66" s="7">
        <v>17279900</v>
      </c>
      <c r="C66" s="7">
        <v>19148300</v>
      </c>
      <c r="D66" s="7">
        <v>19445500</v>
      </c>
      <c r="E66" s="7">
        <v>19336600</v>
      </c>
      <c r="F66" s="7">
        <v>19421900</v>
      </c>
      <c r="G66" s="2"/>
      <c r="H66" s="8" t="s">
        <v>52</v>
      </c>
      <c r="I66" s="4"/>
      <c r="J66" s="7">
        <v>-111900</v>
      </c>
      <c r="K66" s="10">
        <v>-900</v>
      </c>
      <c r="L66" s="10">
        <v>49900</v>
      </c>
      <c r="M66" s="10">
        <v>30100</v>
      </c>
      <c r="N66" s="1"/>
      <c r="O66" s="1"/>
      <c r="P66" s="1"/>
    </row>
    <row r="67" spans="1:16" ht="16" customHeight="1" x14ac:dyDescent="0.2">
      <c r="A67" s="9" t="s">
        <v>53</v>
      </c>
      <c r="B67" s="10">
        <v>1864400</v>
      </c>
      <c r="C67" s="10">
        <v>2020100</v>
      </c>
      <c r="D67" s="10">
        <v>2388800</v>
      </c>
      <c r="E67" s="10">
        <v>2681400</v>
      </c>
      <c r="F67" s="10">
        <v>2544900</v>
      </c>
      <c r="G67" s="1"/>
      <c r="H67" s="9" t="s">
        <v>54</v>
      </c>
      <c r="I67" s="10">
        <v>6100</v>
      </c>
      <c r="J67" s="10">
        <v>17800</v>
      </c>
      <c r="K67" s="7">
        <v>19900</v>
      </c>
      <c r="L67" s="7">
        <v>47400</v>
      </c>
      <c r="M67" s="7">
        <v>20000</v>
      </c>
      <c r="N67" s="2"/>
      <c r="O67" s="2"/>
      <c r="P67" s="2"/>
    </row>
    <row r="68" spans="1:16" ht="16" customHeight="1" x14ac:dyDescent="0.2">
      <c r="A68" s="8" t="s">
        <v>55</v>
      </c>
      <c r="B68" s="7">
        <v>1935706</v>
      </c>
      <c r="C68" s="7">
        <v>2052284</v>
      </c>
      <c r="D68" s="7">
        <v>2472589</v>
      </c>
      <c r="E68" s="7">
        <v>2632527</v>
      </c>
      <c r="F68" s="7">
        <v>2526573</v>
      </c>
      <c r="G68" s="2"/>
      <c r="H68" s="8" t="s">
        <v>56</v>
      </c>
      <c r="I68" s="7">
        <v>10000</v>
      </c>
      <c r="J68" s="7">
        <v>8500</v>
      </c>
      <c r="K68" s="10">
        <v>3109900</v>
      </c>
      <c r="L68" s="10">
        <v>3451800</v>
      </c>
      <c r="M68" s="10">
        <v>3277100</v>
      </c>
      <c r="N68" s="1"/>
      <c r="O68" s="1"/>
      <c r="P68" s="1"/>
    </row>
    <row r="69" spans="1:16" ht="16" customHeight="1" x14ac:dyDescent="0.2">
      <c r="A69" s="9" t="s">
        <v>22</v>
      </c>
      <c r="B69" s="10">
        <v>4900</v>
      </c>
      <c r="C69" s="10">
        <v>8000</v>
      </c>
      <c r="D69" s="10">
        <v>25200</v>
      </c>
      <c r="E69" s="10">
        <v>11000</v>
      </c>
      <c r="F69" s="10">
        <v>9700</v>
      </c>
      <c r="G69" s="1"/>
      <c r="H69" s="9" t="s">
        <v>57</v>
      </c>
      <c r="I69" s="10">
        <v>2248600</v>
      </c>
      <c r="J69" s="10">
        <v>2573100</v>
      </c>
      <c r="K69" s="7">
        <v>721100</v>
      </c>
      <c r="L69" s="7">
        <v>770400</v>
      </c>
      <c r="M69" s="7">
        <v>732200</v>
      </c>
      <c r="N69" s="2"/>
      <c r="O69" s="2"/>
      <c r="P69" s="2"/>
    </row>
    <row r="70" spans="1:16" ht="16" customHeight="1" x14ac:dyDescent="0.2">
      <c r="A70" s="8" t="s">
        <v>23</v>
      </c>
      <c r="B70" s="7">
        <v>334700</v>
      </c>
      <c r="C70" s="7">
        <v>390800</v>
      </c>
      <c r="D70" s="7">
        <v>417500</v>
      </c>
      <c r="E70" s="7">
        <v>415700</v>
      </c>
      <c r="F70" s="7">
        <v>418100</v>
      </c>
      <c r="G70" s="2"/>
      <c r="H70" s="8" t="s">
        <v>28</v>
      </c>
      <c r="I70" s="7">
        <v>384200</v>
      </c>
      <c r="J70" s="7">
        <v>553000</v>
      </c>
      <c r="K70" s="1"/>
      <c r="L70" s="1"/>
      <c r="M70" s="1"/>
      <c r="N70" s="1"/>
      <c r="O70" s="1"/>
      <c r="P70" s="1"/>
    </row>
    <row r="71" spans="1:16" ht="16" customHeight="1" x14ac:dyDescent="0.2">
      <c r="A71" s="9" t="s">
        <v>24</v>
      </c>
      <c r="B71" s="10">
        <v>-340100</v>
      </c>
      <c r="C71" s="10">
        <v>-395000</v>
      </c>
      <c r="D71" s="10">
        <v>-407300</v>
      </c>
      <c r="E71" s="10">
        <v>-420400</v>
      </c>
      <c r="F71" s="10">
        <v>-424500</v>
      </c>
      <c r="G71" s="1"/>
      <c r="H71" s="1"/>
      <c r="I71" s="1"/>
      <c r="J71" s="1"/>
      <c r="K71" s="2"/>
      <c r="L71" s="2"/>
      <c r="M71" s="2"/>
      <c r="N71" s="2"/>
      <c r="O71" s="2"/>
      <c r="P71" s="2"/>
    </row>
    <row r="72" spans="1:16" ht="16" customHeight="1" x14ac:dyDescent="0.2">
      <c r="A72" s="8" t="s">
        <v>21</v>
      </c>
      <c r="B72" s="7">
        <v>2583300</v>
      </c>
      <c r="C72" s="7">
        <v>2963900</v>
      </c>
      <c r="D72" s="7">
        <v>3527400</v>
      </c>
      <c r="E72" s="7">
        <v>3867500</v>
      </c>
      <c r="F72" s="7">
        <v>3695200</v>
      </c>
      <c r="G72" s="2"/>
      <c r="H72" s="2"/>
      <c r="I72" s="2"/>
      <c r="J72" s="2"/>
      <c r="K72" s="1"/>
      <c r="L72" s="1"/>
      <c r="M72" s="1"/>
      <c r="N72" s="1"/>
      <c r="O72" s="1"/>
      <c r="P72" s="1"/>
    </row>
    <row r="73" spans="1:16" ht="16" customHeight="1" x14ac:dyDescent="0.2">
      <c r="A73" s="9" t="s">
        <v>32</v>
      </c>
      <c r="B73" s="10">
        <v>3155900</v>
      </c>
      <c r="C73" s="10">
        <v>3545000</v>
      </c>
      <c r="D73" s="10">
        <v>4149900</v>
      </c>
      <c r="E73" s="10">
        <v>4491500</v>
      </c>
      <c r="F73" s="10">
        <v>4336300</v>
      </c>
      <c r="G73" s="1"/>
      <c r="H73" s="1"/>
      <c r="I73" s="1"/>
      <c r="J73" s="1"/>
      <c r="K73" s="2"/>
      <c r="L73" s="2"/>
      <c r="M73" s="2"/>
      <c r="N73" s="2"/>
      <c r="O73" s="2"/>
      <c r="P73" s="2"/>
    </row>
    <row r="74" spans="1:16" ht="16" customHeight="1" x14ac:dyDescent="0.2">
      <c r="A74" s="8" t="s">
        <v>58</v>
      </c>
      <c r="B74" s="7">
        <v>11401900</v>
      </c>
      <c r="C74" s="7">
        <v>12823800</v>
      </c>
      <c r="D74" s="7">
        <v>12293800</v>
      </c>
      <c r="E74" s="7">
        <v>11903400</v>
      </c>
      <c r="F74" s="7">
        <v>11801800</v>
      </c>
      <c r="G74" s="2"/>
      <c r="H74" s="2"/>
      <c r="I74" s="2"/>
      <c r="J74" s="2"/>
      <c r="K74" s="1"/>
      <c r="L74" s="1"/>
      <c r="M74" s="1"/>
      <c r="N74" s="1"/>
      <c r="O74" s="1"/>
      <c r="P74" s="1"/>
    </row>
    <row r="75" spans="1:16" ht="16" customHeight="1" x14ac:dyDescent="0.2">
      <c r="A75" s="9" t="s">
        <v>59</v>
      </c>
      <c r="B75" s="10">
        <v>572600</v>
      </c>
      <c r="C75" s="10">
        <v>581100</v>
      </c>
      <c r="D75" s="10">
        <v>622500</v>
      </c>
      <c r="E75" s="10">
        <v>624000</v>
      </c>
      <c r="F75" s="10">
        <v>641100</v>
      </c>
      <c r="G75" s="1"/>
      <c r="H75" s="1"/>
      <c r="I75" s="1"/>
      <c r="J75" s="1"/>
      <c r="K75" s="2"/>
      <c r="L75" s="2"/>
      <c r="M75" s="2"/>
      <c r="N75" s="2"/>
      <c r="O75" s="2"/>
      <c r="P75" s="2"/>
    </row>
    <row r="76" spans="1:16" ht="16" customHeight="1" x14ac:dyDescent="0.2">
      <c r="A76" s="8" t="s">
        <v>60</v>
      </c>
      <c r="B76" s="7">
        <v>1864400</v>
      </c>
      <c r="C76" s="7">
        <v>2020100</v>
      </c>
      <c r="D76" s="7">
        <v>2388800</v>
      </c>
      <c r="E76" s="7">
        <v>2681400</v>
      </c>
      <c r="F76" s="7">
        <v>2544900</v>
      </c>
      <c r="G76" s="2"/>
      <c r="H76" s="2"/>
      <c r="I76" s="2"/>
      <c r="J76" s="2"/>
      <c r="K76" s="1"/>
      <c r="L76" s="1"/>
      <c r="M76" s="1"/>
      <c r="N76" s="1"/>
      <c r="O76" s="1"/>
      <c r="P76" s="1"/>
    </row>
    <row r="77" spans="1:16" ht="16" customHeight="1" x14ac:dyDescent="0.2">
      <c r="A77" s="9" t="s">
        <v>61</v>
      </c>
      <c r="B77" s="10">
        <v>-86000</v>
      </c>
      <c r="C77" s="10">
        <v>-41000</v>
      </c>
      <c r="D77" s="10">
        <v>-109100</v>
      </c>
      <c r="E77" s="10">
        <v>62900</v>
      </c>
      <c r="F77" s="10">
        <v>23600</v>
      </c>
      <c r="G77" s="1"/>
      <c r="H77" s="1"/>
      <c r="I77" s="1"/>
      <c r="J77" s="1"/>
      <c r="K77" s="2"/>
      <c r="L77" s="2"/>
      <c r="M77" s="2"/>
      <c r="N77" s="2"/>
      <c r="O77" s="2"/>
      <c r="P77" s="2"/>
    </row>
    <row r="78" spans="1:16" ht="16" customHeight="1" x14ac:dyDescent="0.2">
      <c r="A78" s="8" t="s">
        <v>62</v>
      </c>
      <c r="B78" s="7">
        <v>-86000</v>
      </c>
      <c r="C78" s="7">
        <v>-41000</v>
      </c>
      <c r="D78" s="7">
        <v>-109100</v>
      </c>
      <c r="E78" s="7">
        <v>62900</v>
      </c>
      <c r="F78" s="7">
        <v>23600</v>
      </c>
      <c r="G78" s="2"/>
      <c r="H78" s="2"/>
      <c r="I78" s="2"/>
      <c r="J78" s="2"/>
      <c r="K78" s="1"/>
      <c r="L78" s="1"/>
      <c r="M78" s="1"/>
      <c r="N78" s="1"/>
      <c r="O78" s="1"/>
      <c r="P78" s="1"/>
    </row>
    <row r="79" spans="1:16" ht="16" customHeight="1" x14ac:dyDescent="0.2">
      <c r="A79" s="9" t="s">
        <v>63</v>
      </c>
      <c r="B79" s="10">
        <v>3241900</v>
      </c>
      <c r="C79" s="10">
        <v>3586000</v>
      </c>
      <c r="D79" s="10">
        <v>4259000</v>
      </c>
      <c r="E79" s="10">
        <v>4428600</v>
      </c>
      <c r="F79" s="10">
        <v>4312700</v>
      </c>
      <c r="G79" s="1"/>
      <c r="H79" s="1"/>
      <c r="I79" s="1"/>
      <c r="J79" s="1"/>
      <c r="K79" s="2"/>
      <c r="L79" s="2"/>
      <c r="M79" s="2"/>
      <c r="N79" s="2"/>
      <c r="O79" s="2"/>
      <c r="P79" s="2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3183-70F7-4649-8CB4-D1F395E30B2C}">
  <dimension ref="B2:W78"/>
  <sheetViews>
    <sheetView topLeftCell="A21" workbookViewId="0">
      <selection activeCell="H4" sqref="H4"/>
    </sheetView>
  </sheetViews>
  <sheetFormatPr baseColWidth="10" defaultColWidth="8.83203125" defaultRowHeight="16" x14ac:dyDescent="0.2"/>
  <cols>
    <col min="2" max="2" width="36.6640625" customWidth="1"/>
    <col min="3" max="3" width="2.5" customWidth="1"/>
    <col min="4" max="4" width="10.83203125" bestFit="1" customWidth="1"/>
    <col min="5" max="5" width="10.6640625" bestFit="1" customWidth="1"/>
    <col min="6" max="7" width="10.1640625" bestFit="1" customWidth="1"/>
    <col min="8" max="8" width="8.83203125" style="97"/>
  </cols>
  <sheetData>
    <row r="2" spans="2:13" x14ac:dyDescent="0.2">
      <c r="B2" s="13"/>
      <c r="C2" s="13"/>
      <c r="D2" s="13"/>
      <c r="E2" s="13"/>
      <c r="F2" s="14"/>
      <c r="G2" s="145" t="s">
        <v>0</v>
      </c>
      <c r="H2" s="147" t="s">
        <v>1</v>
      </c>
      <c r="I2" s="146"/>
      <c r="J2" s="148"/>
      <c r="K2" s="13"/>
      <c r="L2" s="13"/>
      <c r="M2" s="11"/>
    </row>
    <row r="3" spans="2:13" x14ac:dyDescent="0.2">
      <c r="B3" s="15"/>
      <c r="C3" s="15"/>
      <c r="D3" s="15" t="s">
        <v>3</v>
      </c>
      <c r="E3" s="15" t="s">
        <v>4</v>
      </c>
      <c r="F3" s="15" t="s">
        <v>5</v>
      </c>
      <c r="G3" s="15" t="s">
        <v>6</v>
      </c>
      <c r="H3" s="93" t="s">
        <v>7</v>
      </c>
      <c r="I3" s="15" t="s">
        <v>8</v>
      </c>
      <c r="J3" s="15" t="s">
        <v>9</v>
      </c>
      <c r="K3" s="15" t="s">
        <v>10</v>
      </c>
      <c r="L3" s="15" t="s">
        <v>11</v>
      </c>
    </row>
    <row r="4" spans="2:13" x14ac:dyDescent="0.2">
      <c r="B4" s="15" t="s">
        <v>65</v>
      </c>
      <c r="C4" s="15"/>
      <c r="D4" s="15">
        <v>19994.599999999999</v>
      </c>
      <c r="E4" s="15">
        <v>22148.9</v>
      </c>
      <c r="F4" s="15">
        <v>23051.9</v>
      </c>
      <c r="G4" s="15">
        <v>23098.5</v>
      </c>
      <c r="H4" s="93">
        <f>G4*(1+H31)</f>
        <v>23675.962499999998</v>
      </c>
      <c r="I4" s="93">
        <f>H4*(1+I31)</f>
        <v>24741.380812499996</v>
      </c>
      <c r="J4" s="93">
        <f>I4*(1+J31)</f>
        <v>25780.518806624998</v>
      </c>
      <c r="K4" s="93">
        <f>J4*(1+K31)</f>
        <v>26811.73955889</v>
      </c>
      <c r="L4" s="93">
        <f>K4*(1+L31)</f>
        <v>27750.150443451148</v>
      </c>
    </row>
    <row r="5" spans="2:13" x14ac:dyDescent="0.2">
      <c r="B5" s="15" t="s">
        <v>66</v>
      </c>
      <c r="C5" s="15"/>
      <c r="D5" s="15"/>
      <c r="E5" s="15">
        <v>11.1</v>
      </c>
      <c r="F5" s="15">
        <v>4.0999999999999996</v>
      </c>
      <c r="G5" s="15">
        <v>0.2</v>
      </c>
      <c r="H5" s="93"/>
      <c r="I5" s="15"/>
      <c r="J5" s="15"/>
      <c r="K5" s="15"/>
      <c r="L5" s="15"/>
    </row>
    <row r="6" spans="2:13" x14ac:dyDescent="0.2">
      <c r="B6" s="15"/>
      <c r="C6" s="15"/>
      <c r="D6" s="15"/>
      <c r="E6" s="15"/>
      <c r="F6" s="15"/>
      <c r="G6" s="15"/>
      <c r="H6" s="93"/>
      <c r="I6" s="15"/>
      <c r="J6" s="15"/>
      <c r="K6" s="15"/>
      <c r="L6" s="15"/>
    </row>
    <row r="7" spans="2:13" x14ac:dyDescent="0.2">
      <c r="B7" s="16" t="s">
        <v>67</v>
      </c>
      <c r="C7" s="15"/>
      <c r="D7" s="15"/>
      <c r="E7" s="15"/>
      <c r="F7" s="15"/>
      <c r="G7" s="15"/>
      <c r="H7" s="93"/>
      <c r="I7" s="15"/>
      <c r="J7" s="15"/>
      <c r="K7" s="15"/>
      <c r="L7" s="15"/>
    </row>
    <row r="8" spans="2:13" x14ac:dyDescent="0.2">
      <c r="B8" s="15" t="s">
        <v>65</v>
      </c>
      <c r="C8" s="15"/>
      <c r="D8" s="15">
        <v>10616.2</v>
      </c>
      <c r="E8" s="15">
        <v>11963.3</v>
      </c>
      <c r="F8" s="15">
        <v>12839.5</v>
      </c>
      <c r="G8" s="15">
        <v>13188</v>
      </c>
      <c r="H8" s="93">
        <f>G8*(1+H34)</f>
        <v>13583.640000000001</v>
      </c>
      <c r="I8" s="93">
        <f>H8*(1+I34)</f>
        <v>14126.985600000002</v>
      </c>
      <c r="J8" s="93">
        <f>I8*(1+J34)</f>
        <v>14621.430096</v>
      </c>
      <c r="K8" s="93">
        <f>J8*(1+K34)</f>
        <v>15060.072998880001</v>
      </c>
      <c r="L8" s="93">
        <f>K8*(1+L34)</f>
        <v>15436.574823851999</v>
      </c>
    </row>
    <row r="9" spans="2:13" x14ac:dyDescent="0.2">
      <c r="B9" s="15" t="s">
        <v>68</v>
      </c>
      <c r="C9" s="15"/>
      <c r="D9" s="17" t="s">
        <v>69</v>
      </c>
      <c r="E9" s="17" t="s">
        <v>69</v>
      </c>
      <c r="F9" s="17" t="s">
        <v>69</v>
      </c>
      <c r="G9" s="17" t="s">
        <v>69</v>
      </c>
      <c r="H9" s="94" t="s">
        <v>69</v>
      </c>
      <c r="I9" s="17" t="s">
        <v>69</v>
      </c>
      <c r="J9" s="17" t="s">
        <v>69</v>
      </c>
      <c r="K9" s="17" t="s">
        <v>69</v>
      </c>
      <c r="L9" s="17" t="s">
        <v>69</v>
      </c>
    </row>
    <row r="10" spans="2:13" x14ac:dyDescent="0.2">
      <c r="B10" s="18" t="s">
        <v>70</v>
      </c>
      <c r="C10" s="15"/>
      <c r="D10" s="18">
        <v>10616.2</v>
      </c>
      <c r="E10" s="18">
        <v>11963.3</v>
      </c>
      <c r="F10" s="18">
        <f>F8</f>
        <v>12839.5</v>
      </c>
      <c r="G10" s="18">
        <f>G8</f>
        <v>13188</v>
      </c>
      <c r="H10" s="95">
        <f>G10*(1+H36)</f>
        <v>13583.640000000001</v>
      </c>
      <c r="I10" s="95">
        <f>H10*(1+I36)</f>
        <v>14126.985600000002</v>
      </c>
      <c r="J10" s="95">
        <f>I10*(1+J36)</f>
        <v>14621.430096</v>
      </c>
      <c r="K10" s="95">
        <f>J10*(1+K36)</f>
        <v>15060.072998880001</v>
      </c>
      <c r="L10" s="95">
        <f>K10*(1+L36)</f>
        <v>15436.574823851999</v>
      </c>
    </row>
    <row r="11" spans="2:13" x14ac:dyDescent="0.2">
      <c r="B11" s="15"/>
      <c r="C11" s="15"/>
      <c r="D11" s="15"/>
      <c r="E11" s="15"/>
      <c r="F11" s="15"/>
      <c r="G11" s="15"/>
      <c r="H11" s="93"/>
      <c r="I11" s="15"/>
      <c r="J11" s="15"/>
      <c r="K11" s="15"/>
      <c r="L11" s="15"/>
    </row>
    <row r="12" spans="2:13" x14ac:dyDescent="0.2">
      <c r="B12" s="19" t="s">
        <v>71</v>
      </c>
      <c r="C12" s="15"/>
      <c r="D12" s="15"/>
      <c r="E12" s="15"/>
      <c r="F12" s="15"/>
      <c r="G12" s="15"/>
      <c r="H12" s="93"/>
      <c r="I12" s="15"/>
      <c r="J12" s="15"/>
      <c r="K12" s="15"/>
      <c r="L12" s="15"/>
    </row>
    <row r="13" spans="2:13" x14ac:dyDescent="0.2">
      <c r="B13" s="15" t="s">
        <v>65</v>
      </c>
      <c r="C13" s="15"/>
      <c r="D13" s="15">
        <v>3322.4</v>
      </c>
      <c r="E13" s="15">
        <v>3388.4</v>
      </c>
      <c r="F13" s="15">
        <v>3365.6</v>
      </c>
      <c r="G13" s="15">
        <v>3108</v>
      </c>
      <c r="H13" s="93">
        <f t="shared" ref="H13:L15" si="0">G13*(1+H38)</f>
        <v>3045.84</v>
      </c>
      <c r="I13" s="93">
        <f t="shared" si="0"/>
        <v>3045.84</v>
      </c>
      <c r="J13" s="93">
        <f t="shared" si="0"/>
        <v>3091.5275999999999</v>
      </c>
      <c r="K13" s="93">
        <f t="shared" si="0"/>
        <v>3153.3581519999998</v>
      </c>
      <c r="L13" s="93">
        <f t="shared" si="0"/>
        <v>3216.42531504</v>
      </c>
    </row>
    <row r="14" spans="2:13" x14ac:dyDescent="0.2">
      <c r="B14" s="15" t="s">
        <v>72</v>
      </c>
      <c r="C14" s="15"/>
      <c r="D14" s="15">
        <v>-4183.6000000000004</v>
      </c>
      <c r="E14" s="15">
        <v>-5214.8</v>
      </c>
      <c r="F14" s="15">
        <v>-5234</v>
      </c>
      <c r="G14" s="15">
        <v>-5304.3</v>
      </c>
      <c r="H14" s="93">
        <f t="shared" si="0"/>
        <v>-5198.2139999999999</v>
      </c>
      <c r="I14" s="93">
        <f t="shared" si="0"/>
        <v>-5198.2139999999999</v>
      </c>
      <c r="J14" s="93">
        <f t="shared" si="0"/>
        <v>-5276.1872099999991</v>
      </c>
      <c r="K14" s="93">
        <f t="shared" si="0"/>
        <v>-5381.7109541999989</v>
      </c>
      <c r="L14" s="93">
        <f t="shared" si="0"/>
        <v>-5489.3451732839994</v>
      </c>
    </row>
    <row r="15" spans="2:13" x14ac:dyDescent="0.2">
      <c r="B15" s="18" t="s">
        <v>73</v>
      </c>
      <c r="C15" s="15"/>
      <c r="D15" s="18">
        <f>D13+D14</f>
        <v>-861.20000000000027</v>
      </c>
      <c r="E15" s="18">
        <f>E13+E14</f>
        <v>-1826.4</v>
      </c>
      <c r="F15" s="18">
        <f>F13+F14</f>
        <v>-1868.4</v>
      </c>
      <c r="G15" s="18">
        <f>G13+G14</f>
        <v>-2196.3000000000002</v>
      </c>
      <c r="H15" s="95">
        <f t="shared" si="0"/>
        <v>-2152.3740000000003</v>
      </c>
      <c r="I15" s="95">
        <f t="shared" si="0"/>
        <v>-2152.3740000000003</v>
      </c>
      <c r="J15" s="95">
        <f t="shared" si="0"/>
        <v>-2184.6596100000002</v>
      </c>
      <c r="K15" s="95">
        <f t="shared" si="0"/>
        <v>-2228.3528022</v>
      </c>
      <c r="L15" s="95">
        <f t="shared" si="0"/>
        <v>-2272.9198582439999</v>
      </c>
    </row>
    <row r="16" spans="2:13" x14ac:dyDescent="0.2">
      <c r="B16" s="15"/>
      <c r="C16" s="15"/>
      <c r="D16" s="15"/>
      <c r="E16" s="15"/>
      <c r="F16" s="15"/>
      <c r="G16" s="15"/>
      <c r="H16" s="93"/>
      <c r="I16" s="15"/>
      <c r="J16" s="15"/>
      <c r="K16" s="15"/>
      <c r="L16" s="15"/>
    </row>
    <row r="17" spans="2:13" x14ac:dyDescent="0.2">
      <c r="B17" s="16" t="s">
        <v>74</v>
      </c>
      <c r="C17" s="15"/>
      <c r="D17" s="15"/>
      <c r="E17" s="15"/>
      <c r="F17" s="15"/>
      <c r="G17" s="15"/>
      <c r="H17" s="93"/>
      <c r="I17" s="15"/>
      <c r="J17" s="15"/>
      <c r="K17" s="15"/>
      <c r="L17" s="15"/>
    </row>
    <row r="18" spans="2:13" x14ac:dyDescent="0.2">
      <c r="B18" s="15" t="s">
        <v>65</v>
      </c>
      <c r="C18" s="15"/>
      <c r="D18" s="15">
        <v>6003.8</v>
      </c>
      <c r="E18" s="15">
        <v>6793.5</v>
      </c>
      <c r="F18" s="15">
        <v>6843.1</v>
      </c>
      <c r="G18" s="15">
        <v>6797.3</v>
      </c>
      <c r="H18" s="93">
        <f t="shared" ref="H18:L20" si="1">G18*(1+H43)</f>
        <v>6933.2460000000001</v>
      </c>
      <c r="I18" s="93">
        <f t="shared" si="1"/>
        <v>7141.2433799999999</v>
      </c>
      <c r="J18" s="93">
        <f t="shared" si="1"/>
        <v>7391.1868982999995</v>
      </c>
      <c r="K18" s="93">
        <f t="shared" si="1"/>
        <v>7686.8343742319994</v>
      </c>
      <c r="L18" s="93">
        <f t="shared" si="1"/>
        <v>7994.3077492012799</v>
      </c>
    </row>
    <row r="19" spans="2:13" x14ac:dyDescent="0.2">
      <c r="B19" s="15" t="s">
        <v>72</v>
      </c>
      <c r="C19" s="15"/>
      <c r="D19" s="15">
        <v>-149.69999999999999</v>
      </c>
      <c r="E19" s="15">
        <v>-203.7</v>
      </c>
      <c r="F19" s="15">
        <v>-197.8</v>
      </c>
      <c r="G19" s="15">
        <v>-56.8</v>
      </c>
      <c r="H19" s="93">
        <f t="shared" si="1"/>
        <v>-57.936</v>
      </c>
      <c r="I19" s="93">
        <f t="shared" si="1"/>
        <v>-59.674080000000004</v>
      </c>
      <c r="J19" s="93">
        <f t="shared" si="1"/>
        <v>-268.53336000000002</v>
      </c>
      <c r="K19" s="93">
        <f t="shared" si="1"/>
        <v>-279.27469440000004</v>
      </c>
      <c r="L19" s="93">
        <f t="shared" si="1"/>
        <v>-290.44568217600005</v>
      </c>
    </row>
    <row r="20" spans="2:13" x14ac:dyDescent="0.2">
      <c r="B20" s="18" t="s">
        <v>75</v>
      </c>
      <c r="C20" s="15"/>
      <c r="D20" s="18">
        <f>D18+D19</f>
        <v>5854.1</v>
      </c>
      <c r="E20" s="18">
        <f>E18+E19</f>
        <v>6589.8</v>
      </c>
      <c r="F20" s="18">
        <f>F18+F19</f>
        <v>6645.3</v>
      </c>
      <c r="G20" s="18">
        <f>G18+G19</f>
        <v>6740.5</v>
      </c>
      <c r="H20" s="95">
        <f t="shared" si="1"/>
        <v>6875.31</v>
      </c>
      <c r="I20" s="95">
        <f t="shared" si="1"/>
        <v>7081.569300000001</v>
      </c>
      <c r="J20" s="95">
        <f t="shared" si="1"/>
        <v>31867.061850000006</v>
      </c>
      <c r="K20" s="95">
        <f t="shared" si="1"/>
        <v>33141.744324000007</v>
      </c>
      <c r="L20" s="95">
        <f t="shared" si="1"/>
        <v>34467.414096960005</v>
      </c>
      <c r="M20" s="95"/>
    </row>
    <row r="21" spans="2:13" x14ac:dyDescent="0.2">
      <c r="B21" s="15"/>
      <c r="C21" s="15"/>
      <c r="D21" s="15"/>
      <c r="E21" s="15"/>
      <c r="F21" s="15"/>
      <c r="G21" s="15"/>
      <c r="H21" s="93"/>
      <c r="I21" s="15"/>
      <c r="J21" s="15"/>
      <c r="K21" s="15"/>
      <c r="L21" s="15"/>
    </row>
    <row r="22" spans="2:13" x14ac:dyDescent="0.2">
      <c r="B22" s="16" t="s">
        <v>76</v>
      </c>
      <c r="C22" s="15"/>
      <c r="D22" s="15"/>
      <c r="E22" s="15"/>
      <c r="F22" s="15"/>
      <c r="G22" s="15"/>
      <c r="H22" s="93"/>
      <c r="I22" s="15"/>
      <c r="J22" s="15"/>
      <c r="K22" s="15"/>
      <c r="L22" s="15"/>
    </row>
    <row r="23" spans="2:13" x14ac:dyDescent="0.2">
      <c r="B23" s="15" t="s">
        <v>65</v>
      </c>
      <c r="C23" s="15"/>
      <c r="D23" s="15">
        <v>2.2000000000000002</v>
      </c>
      <c r="E23" s="15">
        <v>3.7</v>
      </c>
      <c r="F23" s="15">
        <v>3.7</v>
      </c>
      <c r="G23" s="15">
        <v>5.2</v>
      </c>
      <c r="H23" s="93">
        <f t="shared" ref="H23:L25" si="2">G23*(1+H48)</f>
        <v>5.4600000000000009</v>
      </c>
      <c r="I23" s="93">
        <f t="shared" si="2"/>
        <v>5.623800000000001</v>
      </c>
      <c r="J23" s="93">
        <f t="shared" si="2"/>
        <v>5.7643950000000004</v>
      </c>
      <c r="K23" s="93">
        <f t="shared" si="2"/>
        <v>5.8796829000000006</v>
      </c>
      <c r="L23" s="93">
        <f t="shared" si="2"/>
        <v>5.9972765580000011</v>
      </c>
    </row>
    <row r="24" spans="2:13" x14ac:dyDescent="0.2">
      <c r="B24" s="15" t="s">
        <v>72</v>
      </c>
      <c r="C24" s="15"/>
      <c r="D24" s="15">
        <v>-4333.3</v>
      </c>
      <c r="E24" s="15">
        <v>-5418.5</v>
      </c>
      <c r="F24" s="15">
        <v>-5431.8</v>
      </c>
      <c r="G24" s="15">
        <v>-5361.1</v>
      </c>
      <c r="H24" s="93">
        <f t="shared" si="2"/>
        <v>-5629.1550000000007</v>
      </c>
      <c r="I24" s="93">
        <f t="shared" si="2"/>
        <v>-5798.0296500000004</v>
      </c>
      <c r="J24" s="93">
        <f t="shared" si="2"/>
        <v>-5942.9803912500001</v>
      </c>
      <c r="K24" s="93">
        <f t="shared" si="2"/>
        <v>-6061.8399990750004</v>
      </c>
      <c r="L24" s="93">
        <f t="shared" si="2"/>
        <v>-6183.0767990565009</v>
      </c>
    </row>
    <row r="25" spans="2:13" x14ac:dyDescent="0.2">
      <c r="B25" s="18" t="s">
        <v>77</v>
      </c>
      <c r="C25" s="15"/>
      <c r="D25" s="18">
        <f>D23+D24</f>
        <v>-4331.1000000000004</v>
      </c>
      <c r="E25" s="18">
        <f>E23+E24</f>
        <v>-5414.8</v>
      </c>
      <c r="F25" s="18">
        <f>F23+F24</f>
        <v>-5428.1</v>
      </c>
      <c r="G25" s="18">
        <f>G23+G24</f>
        <v>-5355.9000000000005</v>
      </c>
      <c r="H25" s="95">
        <f t="shared" si="2"/>
        <v>-5623.6950000000006</v>
      </c>
      <c r="I25" s="95">
        <f t="shared" si="2"/>
        <v>-5792.405850000001</v>
      </c>
      <c r="J25" s="95">
        <f t="shared" si="2"/>
        <v>-5937.2159962500009</v>
      </c>
      <c r="K25" s="95">
        <f t="shared" si="2"/>
        <v>-6055.960316175001</v>
      </c>
      <c r="L25" s="95">
        <f t="shared" si="2"/>
        <v>-6177.0795224985013</v>
      </c>
    </row>
    <row r="27" spans="2:13" x14ac:dyDescent="0.2">
      <c r="B27" s="15"/>
    </row>
    <row r="30" spans="2:13" x14ac:dyDescent="0.2">
      <c r="B30" s="15"/>
      <c r="C30" s="15"/>
      <c r="D30" s="15" t="s">
        <v>3</v>
      </c>
      <c r="E30" s="15" t="s">
        <v>4</v>
      </c>
      <c r="F30" s="15" t="s">
        <v>5</v>
      </c>
      <c r="G30" s="15" t="s">
        <v>6</v>
      </c>
      <c r="H30" s="93" t="s">
        <v>7</v>
      </c>
      <c r="I30" s="15" t="s">
        <v>8</v>
      </c>
      <c r="J30" s="15" t="s">
        <v>9</v>
      </c>
      <c r="K30" s="15" t="s">
        <v>10</v>
      </c>
      <c r="L30" s="15" t="s">
        <v>11</v>
      </c>
    </row>
    <row r="31" spans="2:13" ht="15" customHeight="1" x14ac:dyDescent="0.2">
      <c r="B31" s="15" t="s">
        <v>78</v>
      </c>
      <c r="C31" s="15"/>
      <c r="D31" s="12">
        <v>0</v>
      </c>
      <c r="E31" s="12">
        <f>(E4/D4)-1</f>
        <v>0.1077440909045444</v>
      </c>
      <c r="F31" s="12">
        <f>(F4/E4)-1</f>
        <v>4.0769519028033052E-2</v>
      </c>
      <c r="G31" s="12">
        <f>(G4/F4)-1</f>
        <v>2.0215253406443701E-3</v>
      </c>
      <c r="H31" s="164">
        <v>2.5000000000000001E-2</v>
      </c>
      <c r="I31" s="164">
        <v>4.4999999999999998E-2</v>
      </c>
      <c r="J31" s="164">
        <v>4.2000000000000003E-2</v>
      </c>
      <c r="K31" s="164">
        <v>0.04</v>
      </c>
      <c r="L31" s="164">
        <v>3.5000000000000003E-2</v>
      </c>
      <c r="M31" s="98"/>
    </row>
    <row r="32" spans="2:13" ht="15" customHeight="1" x14ac:dyDescent="0.2">
      <c r="B32" s="15" t="s">
        <v>66</v>
      </c>
      <c r="C32" s="15"/>
      <c r="D32" s="12">
        <v>0</v>
      </c>
      <c r="E32" s="12"/>
      <c r="F32" s="12"/>
      <c r="G32" s="12"/>
      <c r="H32" s="96"/>
      <c r="M32" s="98"/>
    </row>
    <row r="33" spans="2:23" ht="15" customHeight="1" x14ac:dyDescent="0.2">
      <c r="B33" s="19" t="s">
        <v>67</v>
      </c>
      <c r="C33" s="15"/>
      <c r="D33" s="12"/>
      <c r="E33" s="12"/>
      <c r="F33" s="12"/>
      <c r="G33" s="12"/>
      <c r="H33" s="96"/>
      <c r="M33" s="98"/>
    </row>
    <row r="34" spans="2:23" ht="15" customHeight="1" x14ac:dyDescent="0.2">
      <c r="B34" s="71" t="s">
        <v>65</v>
      </c>
      <c r="C34" s="15"/>
      <c r="D34" s="12">
        <v>0</v>
      </c>
      <c r="E34" s="12">
        <f>(E8/D8)-1</f>
        <v>0.12689097793937543</v>
      </c>
      <c r="F34" s="12">
        <f>F8/E8</f>
        <v>1.0732406610216245</v>
      </c>
      <c r="G34" s="12">
        <f>G8/F8</f>
        <v>1.0271428015109623</v>
      </c>
      <c r="H34" s="164">
        <v>0.03</v>
      </c>
      <c r="I34" s="164">
        <v>0.04</v>
      </c>
      <c r="J34" s="164">
        <v>3.5000000000000003E-2</v>
      </c>
      <c r="K34" s="164">
        <v>0.03</v>
      </c>
      <c r="L34" s="164">
        <v>2.5000000000000001E-2</v>
      </c>
    </row>
    <row r="35" spans="2:23" ht="15" customHeight="1" x14ac:dyDescent="0.2">
      <c r="B35" s="15" t="s">
        <v>68</v>
      </c>
      <c r="C35" s="15"/>
      <c r="D35" s="12">
        <v>0</v>
      </c>
      <c r="E35" s="101" t="e">
        <f>(E9/D9)-1</f>
        <v>#VALUE!</v>
      </c>
      <c r="F35" s="101" t="e">
        <f>(F9/E9)-1</f>
        <v>#VALUE!</v>
      </c>
      <c r="G35" s="101" t="e">
        <f>(G9/F9)-1</f>
        <v>#VALUE!</v>
      </c>
      <c r="H35" s="142" t="e">
        <f>(H9/G9)-1</f>
        <v>#VALUE!</v>
      </c>
      <c r="M35" s="98"/>
    </row>
    <row r="36" spans="2:23" ht="15" customHeight="1" x14ac:dyDescent="0.2">
      <c r="B36" s="18" t="s">
        <v>70</v>
      </c>
      <c r="C36" s="15"/>
      <c r="D36" s="12">
        <v>0</v>
      </c>
      <c r="E36" s="102">
        <f>(E10/D10)-1</f>
        <v>0.12689097793937543</v>
      </c>
      <c r="F36" s="102">
        <f>(F10/E10)-1</f>
        <v>7.324066102162452E-2</v>
      </c>
      <c r="G36" s="102">
        <f>(G10/F10)-1</f>
        <v>2.7142801510962267E-2</v>
      </c>
      <c r="H36" s="164">
        <v>0.03</v>
      </c>
      <c r="I36" s="164">
        <v>0.04</v>
      </c>
      <c r="J36" s="164">
        <v>3.5000000000000003E-2</v>
      </c>
      <c r="K36" s="164">
        <v>0.03</v>
      </c>
      <c r="L36" s="164">
        <v>2.5000000000000001E-2</v>
      </c>
      <c r="M36" s="98"/>
    </row>
    <row r="37" spans="2:23" ht="15" customHeight="1" x14ac:dyDescent="0.2">
      <c r="B37" s="16" t="s">
        <v>71</v>
      </c>
      <c r="C37" s="15"/>
      <c r="D37" s="12"/>
      <c r="E37" s="12"/>
      <c r="F37" s="12"/>
      <c r="G37" s="12"/>
      <c r="H37" s="96"/>
      <c r="M37" s="98"/>
      <c r="N37" s="73"/>
      <c r="O37" s="73"/>
      <c r="P37" s="73"/>
    </row>
    <row r="38" spans="2:23" ht="15" customHeight="1" x14ac:dyDescent="0.2">
      <c r="B38" s="15" t="s">
        <v>65</v>
      </c>
      <c r="C38" s="15"/>
      <c r="D38" s="12">
        <v>0</v>
      </c>
      <c r="E38" s="12">
        <f t="shared" ref="E38:G40" si="3">(E13/D13)-1</f>
        <v>1.9865157717312787E-2</v>
      </c>
      <c r="F38" s="12">
        <f t="shared" si="3"/>
        <v>-6.7288395702986836E-3</v>
      </c>
      <c r="G38" s="12">
        <f t="shared" si="3"/>
        <v>-7.6539101497504092E-2</v>
      </c>
      <c r="H38" s="164">
        <v>-0.02</v>
      </c>
      <c r="I38" s="164">
        <v>0</v>
      </c>
      <c r="J38" s="164">
        <v>1.4999999999999999E-2</v>
      </c>
      <c r="K38" s="164">
        <v>0.02</v>
      </c>
      <c r="L38" s="164">
        <v>0.02</v>
      </c>
      <c r="M38" s="98"/>
      <c r="N38" s="73"/>
      <c r="O38" s="73"/>
      <c r="P38" s="73"/>
    </row>
    <row r="39" spans="2:23" ht="15" customHeight="1" x14ac:dyDescent="0.2">
      <c r="B39" s="15" t="s">
        <v>68</v>
      </c>
      <c r="C39" s="15"/>
      <c r="D39" s="12">
        <v>0</v>
      </c>
      <c r="E39" s="12">
        <f t="shared" si="3"/>
        <v>0.24648627975905901</v>
      </c>
      <c r="F39" s="12">
        <f t="shared" si="3"/>
        <v>3.6818286415585266E-3</v>
      </c>
      <c r="G39" s="12">
        <f t="shared" si="3"/>
        <v>1.343141001146364E-2</v>
      </c>
      <c r="H39" s="96">
        <v>-0.02</v>
      </c>
      <c r="I39">
        <v>0</v>
      </c>
      <c r="J39" s="165">
        <v>1.4999999999999999E-2</v>
      </c>
      <c r="K39" s="73">
        <v>0.02</v>
      </c>
      <c r="L39" s="73">
        <v>0.02</v>
      </c>
      <c r="M39" s="98"/>
      <c r="N39" s="73"/>
      <c r="O39" s="73"/>
      <c r="P39" s="73"/>
    </row>
    <row r="40" spans="2:23" ht="15" customHeight="1" x14ac:dyDescent="0.2">
      <c r="B40" s="18" t="s">
        <v>73</v>
      </c>
      <c r="C40" s="15"/>
      <c r="D40" s="12">
        <v>0</v>
      </c>
      <c r="E40" s="102">
        <f t="shared" si="3"/>
        <v>1.1207617278216437</v>
      </c>
      <c r="F40" s="102">
        <f t="shared" si="3"/>
        <v>2.2996057818659654E-2</v>
      </c>
      <c r="G40" s="102">
        <f t="shared" si="3"/>
        <v>0.17549775208734752</v>
      </c>
      <c r="H40" s="143">
        <v>-0.02</v>
      </c>
      <c r="I40" s="105">
        <v>0</v>
      </c>
      <c r="J40" s="165">
        <v>1.4999999999999999E-2</v>
      </c>
      <c r="K40" s="73">
        <v>0.02</v>
      </c>
      <c r="L40" s="73">
        <v>0.02</v>
      </c>
      <c r="M40" s="98"/>
      <c r="N40" s="73"/>
      <c r="O40" s="73"/>
      <c r="P40" s="73"/>
    </row>
    <row r="41" spans="2:23" ht="15" customHeight="1" x14ac:dyDescent="0.2">
      <c r="B41" s="18"/>
      <c r="C41" s="15"/>
      <c r="D41" s="12"/>
      <c r="E41" s="102"/>
      <c r="F41" s="102"/>
      <c r="G41" s="102"/>
      <c r="H41" s="143"/>
      <c r="M41" s="98"/>
    </row>
    <row r="42" spans="2:23" ht="15" customHeight="1" x14ac:dyDescent="0.2">
      <c r="B42" s="16" t="s">
        <v>74</v>
      </c>
      <c r="C42" s="15"/>
      <c r="D42" s="12">
        <v>0</v>
      </c>
      <c r="E42" s="12"/>
      <c r="F42" s="12"/>
      <c r="G42" s="12"/>
      <c r="H42" s="96"/>
      <c r="M42" s="98"/>
      <c r="R42" s="163"/>
      <c r="S42" s="164"/>
      <c r="T42" s="164"/>
      <c r="U42" s="164"/>
      <c r="V42" s="164"/>
      <c r="W42" s="164"/>
    </row>
    <row r="43" spans="2:23" ht="15" customHeight="1" x14ac:dyDescent="0.2">
      <c r="B43" s="15" t="s">
        <v>65</v>
      </c>
      <c r="C43" s="15"/>
      <c r="D43" s="12">
        <v>0</v>
      </c>
      <c r="E43" s="12">
        <f t="shared" ref="E43:G45" si="4">(E18/D18)-1</f>
        <v>0.13153336220393741</v>
      </c>
      <c r="F43" s="12">
        <f t="shared" si="4"/>
        <v>7.3010966364908114E-3</v>
      </c>
      <c r="G43" s="12">
        <f t="shared" si="4"/>
        <v>-6.6928731130627694E-3</v>
      </c>
      <c r="H43" s="96">
        <v>0.02</v>
      </c>
      <c r="I43" s="12">
        <v>0.03</v>
      </c>
      <c r="J43" s="165">
        <v>3.5000000000000003E-2</v>
      </c>
      <c r="K43" s="73">
        <v>0.04</v>
      </c>
      <c r="L43" s="73">
        <v>0.04</v>
      </c>
      <c r="R43" s="163"/>
      <c r="S43" s="164"/>
      <c r="T43" s="164"/>
      <c r="U43" s="164"/>
      <c r="V43" s="164"/>
      <c r="W43" s="164"/>
    </row>
    <row r="44" spans="2:23" ht="15" customHeight="1" x14ac:dyDescent="0.2">
      <c r="B44" s="15" t="s">
        <v>68</v>
      </c>
      <c r="C44" s="15"/>
      <c r="D44" s="12">
        <v>0</v>
      </c>
      <c r="E44" s="12">
        <f t="shared" si="4"/>
        <v>0.36072144288577146</v>
      </c>
      <c r="F44" s="12">
        <f t="shared" si="4"/>
        <v>-2.8964162984781439E-2</v>
      </c>
      <c r="G44" s="12">
        <f t="shared" si="4"/>
        <v>-0.71284125379170882</v>
      </c>
      <c r="H44" s="96">
        <v>0.02</v>
      </c>
      <c r="I44" s="12">
        <v>0.03</v>
      </c>
      <c r="J44">
        <v>3.5</v>
      </c>
      <c r="K44" s="73">
        <v>0.04</v>
      </c>
      <c r="L44" s="73">
        <v>0.04</v>
      </c>
      <c r="M44" s="98"/>
      <c r="R44" s="163"/>
      <c r="S44" s="164"/>
      <c r="T44" s="164"/>
      <c r="U44" s="164"/>
      <c r="V44" s="164"/>
      <c r="W44" s="164"/>
    </row>
    <row r="45" spans="2:23" ht="15" customHeight="1" x14ac:dyDescent="0.2">
      <c r="B45" s="18" t="s">
        <v>75</v>
      </c>
      <c r="C45" s="15"/>
      <c r="D45" s="12">
        <v>0</v>
      </c>
      <c r="E45" s="102">
        <f t="shared" si="4"/>
        <v>0.12567260552433335</v>
      </c>
      <c r="F45" s="102">
        <f t="shared" si="4"/>
        <v>8.4221068924701381E-3</v>
      </c>
      <c r="G45" s="102">
        <f t="shared" si="4"/>
        <v>1.4325914556152508E-2</v>
      </c>
      <c r="H45" s="143">
        <v>0.02</v>
      </c>
      <c r="I45" s="12">
        <v>0.03</v>
      </c>
      <c r="J45">
        <v>3.5</v>
      </c>
      <c r="K45" s="73">
        <v>0.04</v>
      </c>
      <c r="L45" s="73">
        <v>0.04</v>
      </c>
      <c r="M45" s="98"/>
      <c r="R45" s="163"/>
      <c r="S45" s="164"/>
      <c r="T45" s="164"/>
      <c r="U45" s="164"/>
      <c r="V45" s="164"/>
      <c r="W45" s="164"/>
    </row>
    <row r="46" spans="2:23" ht="15" customHeight="1" x14ac:dyDescent="0.2">
      <c r="B46" s="15"/>
      <c r="C46" s="15"/>
      <c r="D46" s="12"/>
      <c r="E46" s="12"/>
      <c r="F46" s="12"/>
      <c r="G46" s="12"/>
      <c r="H46" s="96"/>
      <c r="K46" s="73"/>
      <c r="M46" s="98"/>
      <c r="R46" s="163"/>
      <c r="S46" s="164"/>
      <c r="T46" s="164"/>
      <c r="U46" s="164"/>
      <c r="V46" s="164"/>
      <c r="W46" s="164"/>
    </row>
    <row r="47" spans="2:23" ht="15" customHeight="1" x14ac:dyDescent="0.2">
      <c r="B47" s="16" t="s">
        <v>76</v>
      </c>
      <c r="C47" s="15"/>
      <c r="D47" s="12">
        <v>0</v>
      </c>
      <c r="E47" s="12"/>
      <c r="F47" s="12"/>
      <c r="G47" s="12"/>
      <c r="H47" s="96"/>
      <c r="M47" s="98"/>
      <c r="R47" s="163"/>
      <c r="S47" s="164"/>
      <c r="T47" s="164"/>
      <c r="U47" s="164"/>
      <c r="V47" s="164"/>
      <c r="W47" s="164"/>
    </row>
    <row r="48" spans="2:23" ht="15" customHeight="1" x14ac:dyDescent="0.2">
      <c r="B48" s="15" t="s">
        <v>65</v>
      </c>
      <c r="C48" s="15"/>
      <c r="D48" s="12">
        <v>0</v>
      </c>
      <c r="E48" s="12">
        <f t="shared" ref="E48:G50" si="5">(E23/D23)-1</f>
        <v>0.68181818181818166</v>
      </c>
      <c r="F48" s="12">
        <f t="shared" si="5"/>
        <v>0</v>
      </c>
      <c r="G48" s="12">
        <f t="shared" si="5"/>
        <v>0.40540540540540548</v>
      </c>
      <c r="H48" s="96">
        <v>0.05</v>
      </c>
      <c r="I48" s="73">
        <v>0.03</v>
      </c>
      <c r="J48" s="165">
        <v>2.5000000000000001E-2</v>
      </c>
      <c r="K48" s="73">
        <v>0.02</v>
      </c>
      <c r="L48" s="73">
        <v>0.02</v>
      </c>
      <c r="M48" s="98"/>
      <c r="N48" s="15"/>
      <c r="R48" s="163"/>
      <c r="S48" s="164"/>
      <c r="T48" s="164"/>
      <c r="U48" s="164"/>
      <c r="V48" s="164"/>
      <c r="W48" s="164"/>
    </row>
    <row r="49" spans="2:23" ht="15" customHeight="1" x14ac:dyDescent="0.2">
      <c r="B49" s="15" t="s">
        <v>68</v>
      </c>
      <c r="C49" s="15"/>
      <c r="D49" s="12">
        <v>0</v>
      </c>
      <c r="E49" s="12">
        <f t="shared" si="5"/>
        <v>0.25043269563612025</v>
      </c>
      <c r="F49" s="12">
        <f t="shared" si="5"/>
        <v>2.4545538433144998E-3</v>
      </c>
      <c r="G49" s="12">
        <f t="shared" si="5"/>
        <v>-1.3015943149600417E-2</v>
      </c>
      <c r="H49" s="96">
        <v>0.05</v>
      </c>
      <c r="I49" s="73">
        <v>0.03</v>
      </c>
      <c r="J49" s="165">
        <v>2.5000000000000001E-2</v>
      </c>
      <c r="K49" s="73">
        <v>0.02</v>
      </c>
      <c r="L49" s="73">
        <v>0.02</v>
      </c>
      <c r="M49" s="98"/>
      <c r="R49" s="163"/>
      <c r="S49" s="164"/>
      <c r="T49" s="164"/>
      <c r="U49" s="164"/>
      <c r="V49" s="164"/>
      <c r="W49" s="164"/>
    </row>
    <row r="50" spans="2:23" ht="15" customHeight="1" x14ac:dyDescent="0.2">
      <c r="B50" s="18" t="s">
        <v>79</v>
      </c>
      <c r="C50" s="15"/>
      <c r="D50" s="12">
        <v>0</v>
      </c>
      <c r="E50" s="102">
        <f t="shared" si="5"/>
        <v>0.25021357160998359</v>
      </c>
      <c r="F50" s="102">
        <f t="shared" si="5"/>
        <v>2.456231070399717E-3</v>
      </c>
      <c r="G50" s="102">
        <f t="shared" si="5"/>
        <v>-1.3301155100311268E-2</v>
      </c>
      <c r="H50" s="12">
        <v>0.05</v>
      </c>
      <c r="I50" s="73">
        <v>0.03</v>
      </c>
      <c r="J50" s="165">
        <v>2.5000000000000001E-2</v>
      </c>
      <c r="K50" s="73">
        <v>0.02</v>
      </c>
      <c r="L50" s="73">
        <v>0.02</v>
      </c>
      <c r="M50" s="100"/>
      <c r="R50" s="163"/>
      <c r="S50" s="164"/>
      <c r="T50" s="164"/>
      <c r="U50" s="164"/>
      <c r="V50" s="164"/>
      <c r="W50" s="164"/>
    </row>
    <row r="51" spans="2:23" ht="15" customHeight="1" x14ac:dyDescent="0.2">
      <c r="D51" s="12"/>
      <c r="E51" s="12"/>
      <c r="F51" s="12"/>
      <c r="G51" s="12"/>
      <c r="H51" s="96"/>
      <c r="M51" s="98"/>
    </row>
    <row r="52" spans="2:23" ht="15" customHeight="1" x14ac:dyDescent="0.2">
      <c r="D52" s="12"/>
      <c r="E52" s="12"/>
      <c r="F52" s="12"/>
      <c r="G52" s="12"/>
      <c r="H52" s="96"/>
      <c r="M52" s="98"/>
    </row>
    <row r="53" spans="2:23" ht="15" customHeight="1" x14ac:dyDescent="0.2">
      <c r="D53" s="12"/>
      <c r="E53" s="12"/>
      <c r="F53" s="12"/>
      <c r="G53" s="12"/>
      <c r="H53" s="96"/>
      <c r="M53" s="98"/>
    </row>
    <row r="54" spans="2:23" ht="15" customHeight="1" x14ac:dyDescent="0.2">
      <c r="D54" s="12"/>
      <c r="E54" s="12"/>
      <c r="F54" s="12"/>
      <c r="G54" s="12"/>
      <c r="H54" s="96"/>
      <c r="M54" s="98"/>
    </row>
    <row r="55" spans="2:23" ht="15" customHeight="1" x14ac:dyDescent="0.2">
      <c r="D55" s="12"/>
      <c r="E55" s="12"/>
      <c r="F55" s="12"/>
      <c r="G55" s="12"/>
      <c r="H55" s="96"/>
      <c r="M55" s="98"/>
    </row>
    <row r="56" spans="2:23" ht="15" customHeight="1" x14ac:dyDescent="0.2">
      <c r="D56" s="98"/>
      <c r="E56" s="98"/>
      <c r="F56" s="98"/>
      <c r="G56" s="98"/>
      <c r="H56" s="144"/>
      <c r="M56" s="98"/>
    </row>
    <row r="57" spans="2:23" ht="15" customHeight="1" x14ac:dyDescent="0.2"/>
    <row r="58" spans="2:23" ht="15" customHeight="1" x14ac:dyDescent="0.2"/>
    <row r="59" spans="2:23" ht="15" customHeight="1" x14ac:dyDescent="0.2"/>
    <row r="60" spans="2:23" ht="15" customHeight="1" x14ac:dyDescent="0.2"/>
    <row r="61" spans="2:23" ht="15" customHeight="1" x14ac:dyDescent="0.2"/>
    <row r="62" spans="2:23" ht="15" customHeight="1" x14ac:dyDescent="0.2"/>
    <row r="63" spans="2:23" ht="15" customHeight="1" x14ac:dyDescent="0.2"/>
    <row r="64" spans="2:23" ht="15" customHeight="1" x14ac:dyDescent="0.2"/>
    <row r="70" spans="12:17" x14ac:dyDescent="0.2">
      <c r="L70" s="163"/>
      <c r="M70" s="164"/>
      <c r="N70" s="164"/>
      <c r="O70" s="164"/>
      <c r="P70" s="164"/>
      <c r="Q70" s="164"/>
    </row>
    <row r="71" spans="12:17" x14ac:dyDescent="0.2">
      <c r="L71" s="163"/>
      <c r="M71" s="164"/>
      <c r="N71" s="164"/>
      <c r="O71" s="164"/>
      <c r="P71" s="164"/>
      <c r="Q71" s="164"/>
    </row>
    <row r="72" spans="12:17" x14ac:dyDescent="0.2">
      <c r="L72" s="163"/>
      <c r="M72" s="164"/>
      <c r="N72" s="164"/>
      <c r="O72" s="164"/>
      <c r="P72" s="164"/>
      <c r="Q72" s="164"/>
    </row>
    <row r="73" spans="12:17" x14ac:dyDescent="0.2">
      <c r="L73" s="163"/>
      <c r="M73" s="164"/>
      <c r="N73" s="164"/>
      <c r="O73" s="164"/>
      <c r="P73" s="164"/>
      <c r="Q73" s="164"/>
    </row>
    <row r="74" spans="12:17" x14ac:dyDescent="0.2">
      <c r="L74" s="163"/>
      <c r="M74" s="164"/>
      <c r="N74" s="164"/>
      <c r="O74" s="164"/>
      <c r="P74" s="164"/>
      <c r="Q74" s="164"/>
    </row>
    <row r="75" spans="12:17" x14ac:dyDescent="0.2">
      <c r="L75" s="163"/>
      <c r="M75" s="164"/>
      <c r="N75" s="164"/>
      <c r="O75" s="164"/>
      <c r="P75" s="164"/>
      <c r="Q75" s="164"/>
    </row>
    <row r="76" spans="12:17" x14ac:dyDescent="0.2">
      <c r="L76" s="163"/>
      <c r="M76" s="164"/>
      <c r="N76" s="164"/>
      <c r="O76" s="164"/>
      <c r="P76" s="164"/>
      <c r="Q76" s="164"/>
    </row>
    <row r="77" spans="12:17" x14ac:dyDescent="0.2">
      <c r="L77" s="163"/>
      <c r="M77" s="164"/>
      <c r="N77" s="164"/>
      <c r="O77" s="164"/>
      <c r="P77" s="164"/>
      <c r="Q77" s="164"/>
    </row>
    <row r="78" spans="12:17" x14ac:dyDescent="0.2">
      <c r="L78" s="163"/>
      <c r="M78" s="164"/>
      <c r="N78" s="164"/>
      <c r="O78" s="164"/>
      <c r="P78" s="164"/>
      <c r="Q78" s="1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E6DA-59D6-4C86-A94D-BA9BB7D76B93}">
  <dimension ref="B2:P107"/>
  <sheetViews>
    <sheetView topLeftCell="A49" workbookViewId="0">
      <selection activeCell="I64" sqref="I64"/>
    </sheetView>
  </sheetViews>
  <sheetFormatPr baseColWidth="10" defaultColWidth="8.83203125" defaultRowHeight="16" x14ac:dyDescent="0.2"/>
  <cols>
    <col min="2" max="2" width="36.6640625" customWidth="1"/>
    <col min="3" max="3" width="2.5" customWidth="1"/>
    <col min="4" max="4" width="10.83203125" bestFit="1" customWidth="1"/>
    <col min="5" max="5" width="10.6640625" bestFit="1" customWidth="1"/>
    <col min="6" max="7" width="10.1640625" bestFit="1" customWidth="1"/>
  </cols>
  <sheetData>
    <row r="2" spans="2:15" x14ac:dyDescent="0.2">
      <c r="B2" s="13"/>
      <c r="C2" s="13"/>
      <c r="D2" s="13"/>
      <c r="E2" s="13"/>
      <c r="F2" s="14"/>
      <c r="G2" s="14" t="s">
        <v>0</v>
      </c>
      <c r="H2" s="13"/>
      <c r="I2" s="92" t="s">
        <v>1</v>
      </c>
      <c r="J2" s="14"/>
      <c r="K2" s="13"/>
      <c r="L2" s="13"/>
      <c r="M2" s="11"/>
    </row>
    <row r="3" spans="2:15" x14ac:dyDescent="0.2">
      <c r="B3" s="15"/>
      <c r="C3" s="15"/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93" t="s">
        <v>8</v>
      </c>
      <c r="J3" s="15" t="s">
        <v>9</v>
      </c>
      <c r="K3" s="15" t="s">
        <v>10</v>
      </c>
      <c r="L3" s="15" t="s">
        <v>11</v>
      </c>
      <c r="O3" t="s">
        <v>64</v>
      </c>
    </row>
    <row r="4" spans="2:15" x14ac:dyDescent="0.2">
      <c r="B4" s="15" t="s">
        <v>80</v>
      </c>
      <c r="C4" s="15"/>
      <c r="D4" s="74">
        <v>19944600</v>
      </c>
      <c r="E4" s="74">
        <v>22148900</v>
      </c>
      <c r="F4" s="74">
        <v>23051900</v>
      </c>
      <c r="G4" s="74">
        <v>23098500</v>
      </c>
      <c r="H4" s="15"/>
      <c r="I4" s="93"/>
      <c r="J4" s="15"/>
      <c r="K4" s="15"/>
      <c r="L4" s="15"/>
    </row>
    <row r="5" spans="2:15" x14ac:dyDescent="0.2">
      <c r="B5" s="15" t="s">
        <v>65</v>
      </c>
      <c r="C5" s="15"/>
      <c r="D5" s="15">
        <v>19994.599999999999</v>
      </c>
      <c r="E5" s="15">
        <v>22148.9</v>
      </c>
      <c r="F5" s="15">
        <v>23051.9</v>
      </c>
      <c r="G5" s="15">
        <v>23098.5</v>
      </c>
      <c r="H5" s="15"/>
      <c r="I5" s="93"/>
      <c r="J5" s="15"/>
      <c r="K5" s="15"/>
      <c r="L5" s="15"/>
    </row>
    <row r="6" spans="2:15" x14ac:dyDescent="0.2">
      <c r="B6" s="15" t="s">
        <v>66</v>
      </c>
      <c r="C6" s="15"/>
      <c r="D6" s="15"/>
      <c r="E6" s="15">
        <v>11.1</v>
      </c>
      <c r="F6" s="15">
        <v>4.0999999999999996</v>
      </c>
      <c r="G6" s="15">
        <v>0.2</v>
      </c>
      <c r="H6" s="15"/>
      <c r="I6" s="93"/>
      <c r="J6" s="15"/>
      <c r="K6" s="15"/>
      <c r="L6" s="15"/>
    </row>
    <row r="7" spans="2:15" x14ac:dyDescent="0.2">
      <c r="B7" s="15"/>
      <c r="C7" s="15"/>
      <c r="D7" s="15"/>
      <c r="E7" s="15"/>
      <c r="F7" s="15"/>
      <c r="G7" s="15"/>
      <c r="H7" s="15"/>
      <c r="I7" s="93"/>
      <c r="J7" s="15"/>
      <c r="K7" s="15"/>
      <c r="L7" s="15"/>
    </row>
    <row r="8" spans="2:15" x14ac:dyDescent="0.2">
      <c r="B8" s="16" t="s">
        <v>67</v>
      </c>
      <c r="C8" s="15"/>
      <c r="D8" s="15"/>
      <c r="E8" s="15"/>
      <c r="F8" s="15"/>
      <c r="G8" s="15"/>
      <c r="H8" s="15"/>
      <c r="I8" s="93"/>
      <c r="J8" s="15"/>
      <c r="K8" s="15"/>
      <c r="L8" s="15"/>
    </row>
    <row r="9" spans="2:15" x14ac:dyDescent="0.2">
      <c r="B9" s="15" t="s">
        <v>65</v>
      </c>
      <c r="C9" s="15"/>
      <c r="D9" s="15">
        <v>10616.2</v>
      </c>
      <c r="E9" s="15">
        <v>11963.3</v>
      </c>
      <c r="F9" s="15">
        <v>12839.5</v>
      </c>
      <c r="G9" s="15">
        <v>13188</v>
      </c>
      <c r="H9" s="15"/>
      <c r="I9" s="93"/>
      <c r="J9" s="15"/>
      <c r="K9" s="15"/>
      <c r="L9" s="15"/>
    </row>
    <row r="10" spans="2:15" x14ac:dyDescent="0.2">
      <c r="B10" s="15" t="s">
        <v>68</v>
      </c>
      <c r="C10" s="15"/>
      <c r="D10" s="17" t="s">
        <v>69</v>
      </c>
      <c r="E10" s="17" t="s">
        <v>69</v>
      </c>
      <c r="F10" s="17" t="s">
        <v>69</v>
      </c>
      <c r="G10" s="17" t="s">
        <v>69</v>
      </c>
      <c r="H10" s="17" t="s">
        <v>69</v>
      </c>
      <c r="I10" s="94" t="s">
        <v>69</v>
      </c>
      <c r="J10" s="17" t="s">
        <v>69</v>
      </c>
      <c r="K10" s="17" t="s">
        <v>69</v>
      </c>
      <c r="L10" s="17" t="s">
        <v>69</v>
      </c>
    </row>
    <row r="11" spans="2:15" x14ac:dyDescent="0.2">
      <c r="B11" s="18" t="s">
        <v>79</v>
      </c>
      <c r="C11" s="15"/>
      <c r="D11" s="18">
        <v>10616.2</v>
      </c>
      <c r="E11" s="18">
        <v>11963.3</v>
      </c>
      <c r="F11" s="18">
        <f>F9</f>
        <v>12839.5</v>
      </c>
      <c r="G11" s="18">
        <f>G9</f>
        <v>13188</v>
      </c>
      <c r="H11" s="18">
        <f t="shared" ref="H11:L11" si="0">H9</f>
        <v>0</v>
      </c>
      <c r="I11" s="95">
        <f t="shared" si="0"/>
        <v>0</v>
      </c>
      <c r="J11" s="18">
        <f t="shared" si="0"/>
        <v>0</v>
      </c>
      <c r="K11" s="18">
        <f t="shared" si="0"/>
        <v>0</v>
      </c>
      <c r="L11" s="18">
        <f t="shared" si="0"/>
        <v>0</v>
      </c>
    </row>
    <row r="12" spans="2:15" x14ac:dyDescent="0.2">
      <c r="B12" s="15"/>
      <c r="C12" s="15"/>
      <c r="D12" s="15"/>
      <c r="E12" s="15"/>
      <c r="F12" s="15"/>
      <c r="G12" s="15"/>
      <c r="H12" s="15"/>
      <c r="I12" s="93"/>
      <c r="J12" s="15"/>
      <c r="K12" s="15"/>
      <c r="L12" s="15"/>
    </row>
    <row r="13" spans="2:15" x14ac:dyDescent="0.2">
      <c r="B13" s="15" t="s">
        <v>81</v>
      </c>
      <c r="C13" s="15"/>
      <c r="D13" s="15"/>
      <c r="E13" s="15"/>
      <c r="F13" s="15"/>
      <c r="G13" s="15"/>
      <c r="H13" s="15"/>
      <c r="I13" s="93"/>
      <c r="J13" s="15"/>
      <c r="K13" s="15"/>
      <c r="L13" s="15"/>
    </row>
    <row r="14" spans="2:15" x14ac:dyDescent="0.2">
      <c r="B14" s="15" t="s">
        <v>82</v>
      </c>
      <c r="C14" s="15"/>
      <c r="D14" s="17" t="s">
        <v>69</v>
      </c>
      <c r="E14" s="15">
        <v>5826.8</v>
      </c>
      <c r="F14" s="15">
        <v>5794.4</v>
      </c>
      <c r="G14" s="15">
        <v>5900.8</v>
      </c>
      <c r="H14" s="15"/>
      <c r="I14" s="93"/>
      <c r="J14" s="15"/>
      <c r="K14" s="15"/>
      <c r="L14" s="15"/>
    </row>
    <row r="15" spans="2:15" x14ac:dyDescent="0.2">
      <c r="B15" s="15" t="s">
        <v>83</v>
      </c>
      <c r="C15" s="15"/>
      <c r="D15" s="17" t="s">
        <v>69</v>
      </c>
      <c r="E15" s="15">
        <v>3810.1</v>
      </c>
      <c r="F15" s="15">
        <v>4211.5</v>
      </c>
      <c r="G15" s="15">
        <v>4405.6000000000004</v>
      </c>
      <c r="H15" s="15"/>
      <c r="I15" s="93"/>
      <c r="J15" s="15"/>
      <c r="K15" s="15"/>
      <c r="L15" s="15"/>
    </row>
    <row r="16" spans="2:15" x14ac:dyDescent="0.2">
      <c r="B16" s="15" t="s">
        <v>84</v>
      </c>
      <c r="C16" s="15"/>
      <c r="D16" s="17" t="s">
        <v>69</v>
      </c>
      <c r="E16" s="15">
        <v>-21.7</v>
      </c>
      <c r="F16" s="15">
        <v>-27.2</v>
      </c>
      <c r="G16" s="15">
        <v>-21</v>
      </c>
      <c r="H16" s="15"/>
      <c r="I16" s="93"/>
      <c r="J16" s="15"/>
      <c r="K16" s="15"/>
      <c r="L16" s="15"/>
    </row>
    <row r="17" spans="2:12" x14ac:dyDescent="0.2">
      <c r="B17" s="18" t="s">
        <v>85</v>
      </c>
      <c r="C17" s="15"/>
      <c r="D17" s="18"/>
      <c r="E17" s="18">
        <f>E11-(E14+E15+E16)</f>
        <v>2348.1000000000004</v>
      </c>
      <c r="F17" s="18">
        <f t="shared" ref="F17:L17" si="1">F11-(F14+F15+F16)</f>
        <v>2860.8000000000011</v>
      </c>
      <c r="G17" s="18">
        <f t="shared" si="1"/>
        <v>2902.5999999999985</v>
      </c>
      <c r="H17" s="18">
        <f t="shared" si="1"/>
        <v>0</v>
      </c>
      <c r="I17" s="95">
        <f t="shared" si="1"/>
        <v>0</v>
      </c>
      <c r="J17" s="18">
        <f t="shared" si="1"/>
        <v>0</v>
      </c>
      <c r="K17" s="18">
        <f t="shared" si="1"/>
        <v>0</v>
      </c>
      <c r="L17" s="18">
        <f t="shared" si="1"/>
        <v>0</v>
      </c>
    </row>
    <row r="18" spans="2:12" x14ac:dyDescent="0.2">
      <c r="B18" s="15" t="s">
        <v>86</v>
      </c>
      <c r="C18" s="15"/>
      <c r="D18" s="15"/>
      <c r="E18" s="12">
        <f>E17/E11</f>
        <v>0.19627527521670446</v>
      </c>
      <c r="F18" s="12">
        <f t="shared" ref="F18:L18" si="2">F17/F11</f>
        <v>0.22281241481366104</v>
      </c>
      <c r="G18" s="12">
        <f t="shared" si="2"/>
        <v>0.22009402487109483</v>
      </c>
      <c r="H18" s="12" t="e">
        <f t="shared" si="2"/>
        <v>#DIV/0!</v>
      </c>
      <c r="I18" s="96" t="e">
        <f t="shared" si="2"/>
        <v>#DIV/0!</v>
      </c>
      <c r="J18" s="12" t="e">
        <f t="shared" si="2"/>
        <v>#DIV/0!</v>
      </c>
      <c r="K18" s="12" t="e">
        <f t="shared" si="2"/>
        <v>#DIV/0!</v>
      </c>
      <c r="L18" s="12" t="e">
        <f t="shared" si="2"/>
        <v>#DIV/0!</v>
      </c>
    </row>
    <row r="19" spans="2:12" x14ac:dyDescent="0.2">
      <c r="B19" s="15"/>
      <c r="C19" s="15"/>
      <c r="D19" s="15"/>
      <c r="E19" s="15"/>
      <c r="F19" s="15"/>
      <c r="G19" s="15"/>
      <c r="H19" s="15"/>
      <c r="I19" s="93"/>
      <c r="J19" s="15"/>
      <c r="K19" s="15"/>
      <c r="L19" s="15"/>
    </row>
    <row r="20" spans="2:12" x14ac:dyDescent="0.2">
      <c r="B20" s="19" t="s">
        <v>71</v>
      </c>
      <c r="C20" s="15"/>
      <c r="D20" s="15"/>
      <c r="E20" s="15"/>
      <c r="F20" s="15"/>
      <c r="G20" s="15"/>
      <c r="H20" s="15"/>
      <c r="I20" s="93"/>
      <c r="J20" s="15"/>
      <c r="K20" s="15"/>
      <c r="L20" s="15"/>
    </row>
    <row r="21" spans="2:12" x14ac:dyDescent="0.2">
      <c r="B21" s="15" t="s">
        <v>65</v>
      </c>
      <c r="C21" s="15"/>
      <c r="D21" s="15">
        <v>3322.4</v>
      </c>
      <c r="E21" s="15">
        <v>3388.4</v>
      </c>
      <c r="F21" s="15">
        <v>3365.6</v>
      </c>
      <c r="G21" s="15">
        <v>3108</v>
      </c>
      <c r="H21" s="15"/>
      <c r="I21" s="93"/>
      <c r="J21" s="15"/>
      <c r="K21" s="15"/>
      <c r="L21" s="15"/>
    </row>
    <row r="22" spans="2:12" x14ac:dyDescent="0.2">
      <c r="B22" s="15" t="s">
        <v>68</v>
      </c>
      <c r="C22" s="15"/>
      <c r="D22" s="15">
        <v>4183.6000000000004</v>
      </c>
      <c r="E22" s="15">
        <v>5214.8</v>
      </c>
      <c r="F22" s="15">
        <v>5234</v>
      </c>
      <c r="G22" s="15">
        <v>5304.3</v>
      </c>
      <c r="H22" s="15"/>
      <c r="I22" s="93"/>
      <c r="J22" s="15"/>
      <c r="K22" s="15"/>
      <c r="L22" s="15"/>
    </row>
    <row r="23" spans="2:12" x14ac:dyDescent="0.2">
      <c r="B23" s="18" t="s">
        <v>79</v>
      </c>
      <c r="C23" s="15"/>
      <c r="D23" s="18">
        <f>D21+D22</f>
        <v>7506</v>
      </c>
      <c r="E23" s="18">
        <f>E21+E22</f>
        <v>8603.2000000000007</v>
      </c>
      <c r="F23" s="18">
        <f t="shared" ref="F23:L23" si="3">F21+F22</f>
        <v>8599.6</v>
      </c>
      <c r="G23" s="18">
        <f t="shared" si="3"/>
        <v>8412.2999999999993</v>
      </c>
      <c r="H23" s="18">
        <f t="shared" si="3"/>
        <v>0</v>
      </c>
      <c r="I23" s="95">
        <f t="shared" si="3"/>
        <v>0</v>
      </c>
      <c r="J23" s="18">
        <f t="shared" si="3"/>
        <v>0</v>
      </c>
      <c r="K23" s="18">
        <f t="shared" si="3"/>
        <v>0</v>
      </c>
      <c r="L23" s="18">
        <f t="shared" si="3"/>
        <v>0</v>
      </c>
    </row>
    <row r="24" spans="2:12" x14ac:dyDescent="0.2">
      <c r="B24" s="15"/>
      <c r="C24" s="15"/>
      <c r="D24" s="15"/>
      <c r="E24" s="15"/>
      <c r="F24" s="15"/>
      <c r="G24" s="15"/>
      <c r="H24" s="15"/>
      <c r="I24" s="93"/>
      <c r="J24" s="15"/>
      <c r="K24" s="15"/>
      <c r="L24" s="15"/>
    </row>
    <row r="25" spans="2:12" x14ac:dyDescent="0.2">
      <c r="B25" s="15" t="s">
        <v>82</v>
      </c>
      <c r="C25" s="15"/>
      <c r="D25" s="15"/>
      <c r="E25" s="15">
        <v>7454.8</v>
      </c>
      <c r="F25" s="15">
        <v>7311.9</v>
      </c>
      <c r="G25" s="15">
        <v>6943.5</v>
      </c>
      <c r="H25" s="15"/>
      <c r="I25" s="93"/>
      <c r="J25" s="15"/>
      <c r="K25" s="15"/>
      <c r="L25" s="15"/>
    </row>
    <row r="26" spans="2:12" x14ac:dyDescent="0.2">
      <c r="B26" s="15" t="s">
        <v>83</v>
      </c>
      <c r="C26" s="15"/>
      <c r="D26" s="15"/>
      <c r="E26" s="15">
        <v>817.8</v>
      </c>
      <c r="F26" s="15">
        <v>882.3</v>
      </c>
      <c r="G26" s="15">
        <v>863.1</v>
      </c>
      <c r="H26" s="15"/>
      <c r="I26" s="93"/>
      <c r="J26" s="15"/>
      <c r="K26" s="15"/>
      <c r="L26" s="15"/>
    </row>
    <row r="27" spans="2:12" x14ac:dyDescent="0.2">
      <c r="B27" s="15" t="s">
        <v>23</v>
      </c>
      <c r="C27" s="15"/>
      <c r="D27" s="15"/>
      <c r="E27" s="17" t="s">
        <v>69</v>
      </c>
      <c r="F27" s="17" t="s">
        <v>69</v>
      </c>
      <c r="G27" s="21">
        <v>1.4</v>
      </c>
      <c r="H27" s="17"/>
      <c r="I27" s="94"/>
      <c r="J27" s="17"/>
      <c r="K27" s="17"/>
      <c r="L27" s="17"/>
    </row>
    <row r="28" spans="2:12" x14ac:dyDescent="0.2">
      <c r="B28" s="15" t="s">
        <v>84</v>
      </c>
      <c r="C28" s="15"/>
      <c r="D28" s="15"/>
      <c r="E28" s="15">
        <v>16.399999999999999</v>
      </c>
      <c r="F28" s="15">
        <v>96.1</v>
      </c>
      <c r="G28" s="15">
        <v>14.4</v>
      </c>
      <c r="H28" s="15"/>
      <c r="I28" s="93"/>
      <c r="J28" s="15"/>
      <c r="K28" s="15"/>
      <c r="L28" s="15"/>
    </row>
    <row r="29" spans="2:12" x14ac:dyDescent="0.2">
      <c r="B29" s="18" t="s">
        <v>85</v>
      </c>
      <c r="C29" s="15"/>
      <c r="D29" s="18"/>
      <c r="E29" s="18">
        <f>E23-E25-E26-E28</f>
        <v>314.20000000000061</v>
      </c>
      <c r="F29" s="18">
        <f>F23-F25-F26-F28</f>
        <v>309.30000000000075</v>
      </c>
      <c r="G29" s="18">
        <f>G23-G25-G26-G28-G27</f>
        <v>589.8999999999993</v>
      </c>
      <c r="H29" s="18">
        <f>H23-H25-H26-H28</f>
        <v>0</v>
      </c>
      <c r="I29" s="95">
        <f>I23-I25-I26-I28</f>
        <v>0</v>
      </c>
      <c r="J29" s="18">
        <f>J23-J25-J26-J28</f>
        <v>0</v>
      </c>
      <c r="K29" s="18">
        <f>K23-K25-K26-K28</f>
        <v>0</v>
      </c>
      <c r="L29" s="18">
        <f>L23-L25-L26-L28</f>
        <v>0</v>
      </c>
    </row>
    <row r="30" spans="2:12" x14ac:dyDescent="0.2">
      <c r="B30" s="15" t="s">
        <v>86</v>
      </c>
      <c r="C30" s="15"/>
      <c r="D30" s="15"/>
      <c r="E30" s="12">
        <v>9.2999999999999999E-2</v>
      </c>
      <c r="F30" s="12">
        <v>9.1999999999999998E-2</v>
      </c>
      <c r="G30" s="12">
        <v>0.19</v>
      </c>
      <c r="H30" s="12">
        <v>9.2999999999999999E-2</v>
      </c>
      <c r="I30" s="96">
        <v>9.2999999999999999E-2</v>
      </c>
      <c r="J30" s="12">
        <v>9.2999999999999999E-2</v>
      </c>
      <c r="K30" s="12">
        <v>9.2999999999999999E-2</v>
      </c>
      <c r="L30" s="12">
        <v>9.2999999999999999E-2</v>
      </c>
    </row>
    <row r="31" spans="2:12" x14ac:dyDescent="0.2">
      <c r="B31" s="20" t="s">
        <v>87</v>
      </c>
      <c r="C31" s="15"/>
      <c r="D31" s="15"/>
      <c r="E31" s="15"/>
      <c r="F31" s="15"/>
      <c r="G31" s="15"/>
      <c r="H31" s="15"/>
      <c r="I31" s="93"/>
      <c r="J31" s="15"/>
      <c r="K31" s="15"/>
      <c r="L31" s="15"/>
    </row>
    <row r="32" spans="2:12" x14ac:dyDescent="0.2">
      <c r="B32" s="16" t="s">
        <v>74</v>
      </c>
      <c r="C32" s="15"/>
      <c r="D32" s="15"/>
      <c r="E32" s="15"/>
      <c r="F32" s="15"/>
      <c r="G32" s="15"/>
      <c r="H32" s="15"/>
      <c r="I32" s="93"/>
      <c r="J32" s="15"/>
      <c r="K32" s="15"/>
      <c r="L32" s="15"/>
    </row>
    <row r="33" spans="2:12" x14ac:dyDescent="0.2">
      <c r="B33" s="15" t="s">
        <v>65</v>
      </c>
      <c r="C33" s="15"/>
      <c r="D33" s="15">
        <v>6003.8</v>
      </c>
      <c r="E33" s="15">
        <v>6793.5</v>
      </c>
      <c r="F33" s="15">
        <v>6843.1</v>
      </c>
      <c r="G33" s="15">
        <v>6797.3</v>
      </c>
      <c r="H33" s="15"/>
      <c r="I33" s="93"/>
      <c r="J33" s="15"/>
      <c r="K33" s="15"/>
      <c r="L33" s="15"/>
    </row>
    <row r="34" spans="2:12" x14ac:dyDescent="0.2">
      <c r="B34" s="15" t="s">
        <v>68</v>
      </c>
      <c r="C34" s="15"/>
      <c r="D34" s="15">
        <v>149.69999999999999</v>
      </c>
      <c r="E34" s="15">
        <v>203.7</v>
      </c>
      <c r="F34" s="15">
        <v>197.8</v>
      </c>
      <c r="G34" s="15">
        <v>56.8</v>
      </c>
      <c r="H34" s="15"/>
      <c r="I34" s="93"/>
      <c r="J34" s="15"/>
      <c r="K34" s="15"/>
      <c r="L34" s="15"/>
    </row>
    <row r="35" spans="2:12" x14ac:dyDescent="0.2">
      <c r="B35" s="18" t="s">
        <v>79</v>
      </c>
      <c r="C35" s="15"/>
      <c r="D35" s="18">
        <f>D33+D34</f>
        <v>6153.5</v>
      </c>
      <c r="E35" s="18">
        <f>E33+E34</f>
        <v>6997.2</v>
      </c>
      <c r="F35" s="18">
        <f t="shared" ref="F35:L35" si="4">F33+F34</f>
        <v>7040.9000000000005</v>
      </c>
      <c r="G35" s="18">
        <f t="shared" si="4"/>
        <v>6854.1</v>
      </c>
      <c r="H35" s="18">
        <f t="shared" si="4"/>
        <v>0</v>
      </c>
      <c r="I35" s="95">
        <f t="shared" si="4"/>
        <v>0</v>
      </c>
      <c r="J35" s="18">
        <f t="shared" si="4"/>
        <v>0</v>
      </c>
      <c r="K35" s="18">
        <f t="shared" si="4"/>
        <v>0</v>
      </c>
      <c r="L35" s="18">
        <f t="shared" si="4"/>
        <v>0</v>
      </c>
    </row>
    <row r="36" spans="2:12" x14ac:dyDescent="0.2">
      <c r="B36" s="15"/>
      <c r="C36" s="15"/>
      <c r="D36" s="15"/>
      <c r="E36" s="15"/>
      <c r="F36" s="15"/>
      <c r="G36" s="15"/>
      <c r="H36" s="15"/>
      <c r="I36" s="93"/>
      <c r="J36" s="15"/>
      <c r="K36" s="15"/>
      <c r="L36" s="15"/>
    </row>
    <row r="37" spans="2:12" x14ac:dyDescent="0.2">
      <c r="B37" s="15" t="s">
        <v>82</v>
      </c>
      <c r="C37" s="15"/>
      <c r="D37" s="15"/>
      <c r="E37" s="15">
        <v>4965.3999999999996</v>
      </c>
      <c r="F37" s="15">
        <v>4606.8999999999996</v>
      </c>
      <c r="G37" s="15">
        <v>4406.5</v>
      </c>
      <c r="H37" s="15"/>
      <c r="I37" s="93"/>
      <c r="J37" s="15"/>
      <c r="K37" s="15"/>
      <c r="L37" s="15"/>
    </row>
    <row r="38" spans="2:12" x14ac:dyDescent="0.2">
      <c r="B38" s="15" t="s">
        <v>83</v>
      </c>
      <c r="C38" s="15"/>
      <c r="D38" s="15"/>
      <c r="E38" s="15">
        <v>1275.5999999999999</v>
      </c>
      <c r="F38" s="15">
        <v>1415.5</v>
      </c>
      <c r="G38" s="15">
        <v>1443</v>
      </c>
      <c r="H38" s="15"/>
      <c r="I38" s="93"/>
      <c r="J38" s="15"/>
      <c r="K38" s="15"/>
      <c r="L38" s="15"/>
    </row>
    <row r="39" spans="2:12" x14ac:dyDescent="0.2">
      <c r="B39" s="15" t="s">
        <v>84</v>
      </c>
      <c r="C39" s="15"/>
      <c r="D39" s="15"/>
      <c r="E39" s="15">
        <v>21.3</v>
      </c>
      <c r="F39" s="15">
        <v>26.9</v>
      </c>
      <c r="G39" s="15">
        <v>-23.3</v>
      </c>
      <c r="H39" s="15"/>
      <c r="I39" s="93"/>
      <c r="J39" s="15"/>
      <c r="K39" s="15"/>
      <c r="L39" s="15"/>
    </row>
    <row r="40" spans="2:12" x14ac:dyDescent="0.2">
      <c r="B40" s="18" t="s">
        <v>85</v>
      </c>
      <c r="C40" s="15"/>
      <c r="D40" s="18"/>
      <c r="E40" s="18">
        <f>E35-E37-E38-E39</f>
        <v>734.90000000000032</v>
      </c>
      <c r="F40" s="18">
        <f t="shared" ref="F40:L40" si="5">F35-F37-F38-F39</f>
        <v>991.60000000000093</v>
      </c>
      <c r="G40" s="18">
        <f t="shared" si="5"/>
        <v>1027.9000000000003</v>
      </c>
      <c r="H40" s="18">
        <f t="shared" si="5"/>
        <v>0</v>
      </c>
      <c r="I40" s="95">
        <f t="shared" si="5"/>
        <v>0</v>
      </c>
      <c r="J40" s="18">
        <f t="shared" si="5"/>
        <v>0</v>
      </c>
      <c r="K40" s="18">
        <f t="shared" si="5"/>
        <v>0</v>
      </c>
      <c r="L40" s="18">
        <f t="shared" si="5"/>
        <v>0</v>
      </c>
    </row>
    <row r="41" spans="2:12" x14ac:dyDescent="0.2">
      <c r="B41" s="15" t="s">
        <v>86</v>
      </c>
      <c r="C41" s="15"/>
      <c r="D41" s="15"/>
      <c r="E41" s="12">
        <v>0.108</v>
      </c>
      <c r="F41" s="12">
        <v>0.14499999999999999</v>
      </c>
      <c r="G41" s="12">
        <v>0.151</v>
      </c>
      <c r="H41" s="12">
        <v>0.108</v>
      </c>
      <c r="I41" s="96">
        <v>0.108</v>
      </c>
      <c r="J41" s="12">
        <v>0.108</v>
      </c>
      <c r="K41" s="12">
        <v>0.108</v>
      </c>
      <c r="L41" s="12">
        <v>0.108</v>
      </c>
    </row>
    <row r="42" spans="2:12" x14ac:dyDescent="0.2">
      <c r="B42" s="15"/>
      <c r="C42" s="15"/>
      <c r="D42" s="15"/>
      <c r="E42" s="12"/>
      <c r="F42" s="12"/>
      <c r="G42" s="12"/>
      <c r="H42" s="12"/>
      <c r="I42" s="96"/>
      <c r="J42" s="12"/>
      <c r="K42" s="12"/>
      <c r="L42" s="12"/>
    </row>
    <row r="43" spans="2:12" x14ac:dyDescent="0.2">
      <c r="B43" s="16" t="s">
        <v>76</v>
      </c>
      <c r="C43" s="15"/>
      <c r="D43" s="15"/>
      <c r="E43" s="15"/>
      <c r="F43" s="15"/>
      <c r="G43" s="15"/>
      <c r="H43" s="15"/>
      <c r="I43" s="93"/>
      <c r="J43" s="15"/>
      <c r="K43" s="15"/>
      <c r="L43" s="15"/>
    </row>
    <row r="44" spans="2:12" x14ac:dyDescent="0.2">
      <c r="B44" s="15" t="s">
        <v>65</v>
      </c>
      <c r="C44" s="15"/>
      <c r="D44" s="15">
        <v>2.2000000000000002</v>
      </c>
      <c r="E44" s="15">
        <v>3.7</v>
      </c>
      <c r="F44" s="15">
        <v>3.7</v>
      </c>
      <c r="G44" s="15">
        <v>5.2</v>
      </c>
      <c r="H44" s="15"/>
      <c r="I44" s="93"/>
      <c r="J44" s="15"/>
      <c r="K44" s="15"/>
      <c r="L44" s="15"/>
    </row>
    <row r="45" spans="2:12" x14ac:dyDescent="0.2">
      <c r="B45" s="15" t="s">
        <v>68</v>
      </c>
      <c r="C45" s="15"/>
      <c r="D45" s="15">
        <v>-4333.3</v>
      </c>
      <c r="E45" s="15">
        <v>-5418.5</v>
      </c>
      <c r="F45" s="15">
        <v>-5431.8</v>
      </c>
      <c r="G45" s="15">
        <v>-5361.1</v>
      </c>
      <c r="H45" s="15"/>
      <c r="I45" s="93"/>
      <c r="J45" s="15"/>
      <c r="K45" s="15"/>
      <c r="L45" s="15"/>
    </row>
    <row r="46" spans="2:12" x14ac:dyDescent="0.2">
      <c r="B46" s="18" t="s">
        <v>79</v>
      </c>
      <c r="C46" s="15"/>
      <c r="D46" s="18">
        <f>D44+D45</f>
        <v>-4331.1000000000004</v>
      </c>
      <c r="E46" s="18">
        <f>E44+E45</f>
        <v>-5414.8</v>
      </c>
      <c r="F46" s="18">
        <f t="shared" ref="F46:L46" si="6">F44+F45</f>
        <v>-5428.1</v>
      </c>
      <c r="G46" s="18">
        <f t="shared" si="6"/>
        <v>-5355.9000000000005</v>
      </c>
      <c r="H46" s="18">
        <f t="shared" si="6"/>
        <v>0</v>
      </c>
      <c r="I46" s="95">
        <f t="shared" si="6"/>
        <v>0</v>
      </c>
      <c r="J46" s="18">
        <f t="shared" si="6"/>
        <v>0</v>
      </c>
      <c r="K46" s="18">
        <f t="shared" si="6"/>
        <v>0</v>
      </c>
      <c r="L46" s="18">
        <f t="shared" si="6"/>
        <v>0</v>
      </c>
    </row>
    <row r="47" spans="2:12" x14ac:dyDescent="0.2">
      <c r="B47" s="15"/>
      <c r="C47" s="15"/>
      <c r="D47" s="15"/>
      <c r="E47" s="15"/>
      <c r="F47" s="15"/>
      <c r="G47" s="15"/>
      <c r="H47" s="15"/>
      <c r="I47" s="93"/>
      <c r="J47" s="15"/>
      <c r="K47" s="15"/>
      <c r="L47" s="15"/>
    </row>
    <row r="48" spans="2:12" x14ac:dyDescent="0.2">
      <c r="B48" s="15" t="s">
        <v>82</v>
      </c>
      <c r="C48" s="15"/>
      <c r="D48" s="15"/>
      <c r="E48" s="15">
        <v>-5423.2</v>
      </c>
      <c r="F48" s="15">
        <v>-5419.4</v>
      </c>
      <c r="G48" s="15">
        <v>-5347.4</v>
      </c>
      <c r="H48" s="15"/>
      <c r="I48" s="93"/>
      <c r="J48" s="15"/>
      <c r="K48" s="15"/>
      <c r="L48" s="15"/>
    </row>
    <row r="49" spans="2:13" x14ac:dyDescent="0.2">
      <c r="B49" s="15" t="s">
        <v>83</v>
      </c>
      <c r="C49" s="15"/>
      <c r="D49" s="15"/>
      <c r="E49" s="15">
        <v>428.1</v>
      </c>
      <c r="F49" s="15">
        <v>556.1</v>
      </c>
      <c r="G49" s="15">
        <v>710.4</v>
      </c>
      <c r="H49" s="15"/>
      <c r="I49" s="93"/>
      <c r="J49" s="15"/>
      <c r="K49" s="15"/>
      <c r="L49" s="15"/>
    </row>
    <row r="50" spans="2:13" x14ac:dyDescent="0.2">
      <c r="B50" s="15" t="s">
        <v>23</v>
      </c>
      <c r="C50" s="15"/>
      <c r="D50" s="15"/>
      <c r="E50" s="15">
        <v>390.8</v>
      </c>
      <c r="F50" s="15">
        <v>417.5</v>
      </c>
      <c r="G50" s="15">
        <v>414.3</v>
      </c>
      <c r="H50" s="15"/>
      <c r="I50" s="93"/>
      <c r="J50" s="15"/>
      <c r="K50" s="15"/>
      <c r="L50" s="15"/>
    </row>
    <row r="51" spans="2:13" x14ac:dyDescent="0.2">
      <c r="B51" s="15" t="s">
        <v>84</v>
      </c>
      <c r="C51" s="15"/>
      <c r="D51" s="15"/>
      <c r="E51" s="15">
        <v>13.6</v>
      </c>
      <c r="F51" s="15">
        <v>69.5</v>
      </c>
      <c r="G51" s="15">
        <v>-64.599999999999994</v>
      </c>
      <c r="H51" s="15"/>
      <c r="I51" s="93"/>
      <c r="J51" s="15"/>
      <c r="K51" s="15"/>
      <c r="L51" s="15"/>
    </row>
    <row r="52" spans="2:13" x14ac:dyDescent="0.2">
      <c r="B52" s="18" t="s">
        <v>85</v>
      </c>
      <c r="C52" s="15"/>
      <c r="D52" s="18"/>
      <c r="E52" s="18">
        <f>E46-E48-E49-E50-E51</f>
        <v>-824.10000000000048</v>
      </c>
      <c r="F52" s="18">
        <f t="shared" ref="F52:L52" si="7">F46-F48-F49-F50-F51</f>
        <v>-1051.8000000000006</v>
      </c>
      <c r="G52" s="18">
        <f t="shared" si="7"/>
        <v>-1068.600000000001</v>
      </c>
      <c r="H52" s="18">
        <f t="shared" si="7"/>
        <v>0</v>
      </c>
      <c r="I52" s="95">
        <f t="shared" si="7"/>
        <v>0</v>
      </c>
      <c r="J52" s="18">
        <f t="shared" si="7"/>
        <v>0</v>
      </c>
      <c r="K52" s="18">
        <f t="shared" si="7"/>
        <v>0</v>
      </c>
      <c r="L52" s="18">
        <f t="shared" si="7"/>
        <v>0</v>
      </c>
    </row>
    <row r="53" spans="2:13" x14ac:dyDescent="0.2">
      <c r="B53" s="15"/>
      <c r="C53" s="15"/>
      <c r="D53" s="15"/>
      <c r="E53" s="15"/>
      <c r="F53" s="15"/>
      <c r="G53" s="15"/>
      <c r="H53" s="15"/>
      <c r="I53" s="93"/>
      <c r="J53" s="15"/>
      <c r="K53" s="15"/>
      <c r="L53" s="15"/>
    </row>
    <row r="54" spans="2:13" x14ac:dyDescent="0.2">
      <c r="I54" s="97"/>
    </row>
    <row r="55" spans="2:13" x14ac:dyDescent="0.2">
      <c r="B55" s="15"/>
      <c r="I55" s="97"/>
    </row>
    <row r="56" spans="2:13" x14ac:dyDescent="0.2">
      <c r="I56" s="97"/>
    </row>
    <row r="57" spans="2:13" x14ac:dyDescent="0.2">
      <c r="I57" s="97"/>
    </row>
    <row r="58" spans="2:13" x14ac:dyDescent="0.2">
      <c r="B58" s="15"/>
      <c r="C58" s="15"/>
      <c r="D58" s="15" t="s">
        <v>3</v>
      </c>
      <c r="E58" s="15" t="s">
        <v>4</v>
      </c>
      <c r="F58" s="15" t="s">
        <v>5</v>
      </c>
      <c r="G58" s="15" t="s">
        <v>6</v>
      </c>
      <c r="H58" s="15" t="s">
        <v>7</v>
      </c>
      <c r="I58" s="93" t="s">
        <v>8</v>
      </c>
      <c r="J58" s="15" t="s">
        <v>9</v>
      </c>
      <c r="K58" s="15" t="s">
        <v>10</v>
      </c>
      <c r="L58" s="15" t="s">
        <v>11</v>
      </c>
    </row>
    <row r="59" spans="2:13" x14ac:dyDescent="0.2">
      <c r="B59" s="15" t="s">
        <v>78</v>
      </c>
      <c r="C59" s="15"/>
      <c r="D59" s="12">
        <v>0</v>
      </c>
      <c r="E59" s="12">
        <f>(E5/D5)-1</f>
        <v>0.1077440909045444</v>
      </c>
      <c r="F59" s="12">
        <f>(F5/E5)-1</f>
        <v>4.0769519028033052E-2</v>
      </c>
      <c r="G59" s="12">
        <f>(G5/F5)-1</f>
        <v>2.0215253406443701E-3</v>
      </c>
      <c r="H59" s="12">
        <f>(H5/G5)-1</f>
        <v>-1</v>
      </c>
      <c r="I59" s="97">
        <v>4</v>
      </c>
      <c r="J59">
        <v>4.5</v>
      </c>
      <c r="K59">
        <v>4.5</v>
      </c>
      <c r="L59">
        <v>4.5</v>
      </c>
      <c r="M59" s="98"/>
    </row>
    <row r="60" spans="2:13" x14ac:dyDescent="0.2">
      <c r="B60" s="15" t="s">
        <v>66</v>
      </c>
      <c r="C60" s="15"/>
      <c r="D60" s="12">
        <v>0</v>
      </c>
      <c r="E60" s="12"/>
      <c r="F60" s="12"/>
      <c r="G60" s="12"/>
      <c r="H60" s="12"/>
      <c r="I60" s="97"/>
      <c r="M60" s="98"/>
    </row>
    <row r="61" spans="2:13" x14ac:dyDescent="0.2">
      <c r="B61" s="19" t="s">
        <v>67</v>
      </c>
      <c r="C61" s="15"/>
      <c r="D61" s="12"/>
      <c r="E61" s="12"/>
      <c r="F61" s="12"/>
      <c r="G61" s="12"/>
      <c r="H61" s="12"/>
      <c r="I61" s="97"/>
      <c r="M61" s="98"/>
    </row>
    <row r="62" spans="2:13" ht="17" x14ac:dyDescent="0.2">
      <c r="B62" s="71" t="s">
        <v>65</v>
      </c>
      <c r="C62" s="15"/>
      <c r="D62" s="12">
        <v>0</v>
      </c>
      <c r="E62" s="12">
        <f>(E9/D9)-1</f>
        <v>0.12689097793937543</v>
      </c>
      <c r="F62" s="12">
        <f t="shared" ref="F62:G62" si="8">F9/E9</f>
        <v>1.0732406610216245</v>
      </c>
      <c r="G62" s="12">
        <f t="shared" si="8"/>
        <v>1.0271428015109623</v>
      </c>
      <c r="H62" s="12"/>
      <c r="I62" s="97">
        <v>3</v>
      </c>
      <c r="J62">
        <v>4</v>
      </c>
      <c r="K62">
        <v>3.5</v>
      </c>
      <c r="L62">
        <v>2.5</v>
      </c>
      <c r="M62" s="98"/>
    </row>
    <row r="63" spans="2:13" x14ac:dyDescent="0.2">
      <c r="B63" s="15" t="s">
        <v>68</v>
      </c>
      <c r="C63" s="15"/>
      <c r="D63" s="12">
        <v>0</v>
      </c>
      <c r="E63" s="101">
        <f t="shared" ref="E63:H63" si="9">(E11/D11)-1</f>
        <v>0.12689097793937543</v>
      </c>
      <c r="F63" s="101">
        <f t="shared" si="9"/>
        <v>7.324066102162452E-2</v>
      </c>
      <c r="G63" s="101">
        <f t="shared" si="9"/>
        <v>2.7142801510962267E-2</v>
      </c>
      <c r="H63" s="101">
        <f t="shared" si="9"/>
        <v>-1</v>
      </c>
      <c r="I63" s="97"/>
      <c r="M63" s="98"/>
    </row>
    <row r="64" spans="2:13" x14ac:dyDescent="0.2">
      <c r="B64" s="18" t="s">
        <v>79</v>
      </c>
      <c r="C64" s="15"/>
      <c r="D64" s="12">
        <v>0</v>
      </c>
      <c r="E64" s="102">
        <f t="shared" ref="E64:H64" si="10">(E11/D11)-1</f>
        <v>0.12689097793937543</v>
      </c>
      <c r="F64" s="102">
        <f t="shared" si="10"/>
        <v>7.324066102162452E-2</v>
      </c>
      <c r="G64" s="102">
        <f t="shared" si="10"/>
        <v>2.7142801510962267E-2</v>
      </c>
      <c r="H64" s="102">
        <f t="shared" si="10"/>
        <v>-1</v>
      </c>
      <c r="I64" s="97"/>
      <c r="M64" s="98"/>
    </row>
    <row r="65" spans="2:16" x14ac:dyDescent="0.2">
      <c r="B65" s="15" t="s">
        <v>82</v>
      </c>
      <c r="C65" s="15"/>
      <c r="D65" s="12">
        <v>0</v>
      </c>
      <c r="E65" s="12" t="e">
        <f t="shared" ref="E65:H68" si="11">(E14/D14)-1</f>
        <v>#VALUE!</v>
      </c>
      <c r="F65" s="12">
        <f t="shared" si="11"/>
        <v>-5.5605134893939034E-3</v>
      </c>
      <c r="G65" s="12">
        <f t="shared" si="11"/>
        <v>1.8362556951539544E-2</v>
      </c>
      <c r="H65" s="12">
        <f t="shared" si="11"/>
        <v>-1</v>
      </c>
      <c r="I65" s="97">
        <v>2</v>
      </c>
      <c r="J65">
        <v>2.5</v>
      </c>
      <c r="K65">
        <v>2.5</v>
      </c>
      <c r="L65">
        <v>2.5</v>
      </c>
      <c r="M65" s="98"/>
    </row>
    <row r="66" spans="2:16" x14ac:dyDescent="0.2">
      <c r="B66" s="15" t="s">
        <v>83</v>
      </c>
      <c r="C66" s="15"/>
      <c r="D66" s="12">
        <v>0</v>
      </c>
      <c r="E66" s="12" t="e">
        <f t="shared" si="11"/>
        <v>#VALUE!</v>
      </c>
      <c r="F66" s="12">
        <f t="shared" si="11"/>
        <v>0.10535156557570668</v>
      </c>
      <c r="G66" s="12">
        <f t="shared" si="11"/>
        <v>4.6088092128695246E-2</v>
      </c>
      <c r="H66" s="12">
        <f t="shared" si="11"/>
        <v>-1</v>
      </c>
      <c r="I66" s="97">
        <v>4</v>
      </c>
      <c r="J66">
        <v>4</v>
      </c>
      <c r="K66">
        <v>4</v>
      </c>
      <c r="L66">
        <v>4</v>
      </c>
      <c r="M66" s="98"/>
    </row>
    <row r="67" spans="2:16" x14ac:dyDescent="0.2">
      <c r="B67" s="15" t="s">
        <v>84</v>
      </c>
      <c r="C67" s="15"/>
      <c r="D67" s="12">
        <v>0</v>
      </c>
      <c r="E67" s="12" t="e">
        <f t="shared" si="11"/>
        <v>#VALUE!</v>
      </c>
      <c r="F67" s="12">
        <f t="shared" si="11"/>
        <v>0.25345622119815658</v>
      </c>
      <c r="G67" s="12">
        <f t="shared" si="11"/>
        <v>-0.2279411764705882</v>
      </c>
      <c r="H67" s="12">
        <f t="shared" si="11"/>
        <v>-1</v>
      </c>
      <c r="I67" s="97"/>
      <c r="M67" s="98"/>
    </row>
    <row r="68" spans="2:16" x14ac:dyDescent="0.2">
      <c r="B68" s="18" t="s">
        <v>85</v>
      </c>
      <c r="C68" s="15"/>
      <c r="D68" s="12">
        <v>0</v>
      </c>
      <c r="E68" s="102" t="e">
        <f t="shared" si="11"/>
        <v>#DIV/0!</v>
      </c>
      <c r="F68" s="102">
        <f t="shared" si="11"/>
        <v>0.21834674843490509</v>
      </c>
      <c r="G68" s="102">
        <f t="shared" si="11"/>
        <v>1.4611297539149026E-2</v>
      </c>
      <c r="H68" s="102">
        <f t="shared" si="11"/>
        <v>-1</v>
      </c>
      <c r="I68" s="97">
        <v>12</v>
      </c>
      <c r="J68">
        <v>10</v>
      </c>
      <c r="K68">
        <v>10</v>
      </c>
      <c r="L68">
        <v>10</v>
      </c>
      <c r="M68" s="98"/>
    </row>
    <row r="69" spans="2:16" x14ac:dyDescent="0.2">
      <c r="B69" s="16" t="s">
        <v>71</v>
      </c>
      <c r="C69" s="15"/>
      <c r="D69" s="12"/>
      <c r="E69" s="12"/>
      <c r="F69" s="12"/>
      <c r="G69" s="12"/>
      <c r="H69" s="12"/>
      <c r="I69" s="97"/>
      <c r="M69" s="98"/>
      <c r="N69" s="73"/>
      <c r="O69" s="73"/>
      <c r="P69" s="73"/>
    </row>
    <row r="70" spans="2:16" x14ac:dyDescent="0.2">
      <c r="B70" s="15" t="s">
        <v>65</v>
      </c>
      <c r="C70" s="15"/>
      <c r="D70" s="12">
        <v>0</v>
      </c>
      <c r="E70" s="12">
        <f t="shared" ref="E70:H72" si="12">(E21/D21)-1</f>
        <v>1.9865157717312787E-2</v>
      </c>
      <c r="F70" s="12">
        <f t="shared" si="12"/>
        <v>-6.7288395702986836E-3</v>
      </c>
      <c r="G70" s="12">
        <f t="shared" si="12"/>
        <v>-7.6539101497504092E-2</v>
      </c>
      <c r="H70" s="12">
        <f t="shared" si="12"/>
        <v>-1</v>
      </c>
      <c r="I70" s="97">
        <v>2</v>
      </c>
      <c r="J70">
        <v>1.5</v>
      </c>
      <c r="K70">
        <v>2</v>
      </c>
      <c r="L70">
        <v>2</v>
      </c>
      <c r="M70" s="98"/>
      <c r="N70" s="73"/>
      <c r="O70" s="73"/>
      <c r="P70" s="73"/>
    </row>
    <row r="71" spans="2:16" x14ac:dyDescent="0.2">
      <c r="B71" s="15" t="s">
        <v>68</v>
      </c>
      <c r="C71" s="15"/>
      <c r="D71" s="12">
        <v>0</v>
      </c>
      <c r="E71" s="12">
        <f t="shared" si="12"/>
        <v>0.24648627975905901</v>
      </c>
      <c r="F71" s="12">
        <f t="shared" si="12"/>
        <v>3.6818286415585266E-3</v>
      </c>
      <c r="G71" s="12">
        <f t="shared" si="12"/>
        <v>1.343141001146364E-2</v>
      </c>
      <c r="H71" s="12">
        <f t="shared" si="12"/>
        <v>-1</v>
      </c>
      <c r="I71" s="97"/>
      <c r="M71" s="98"/>
      <c r="N71" s="73"/>
      <c r="O71" s="73"/>
      <c r="P71" s="73"/>
    </row>
    <row r="72" spans="2:16" x14ac:dyDescent="0.2">
      <c r="B72" s="18" t="s">
        <v>79</v>
      </c>
      <c r="C72" s="15"/>
      <c r="D72" s="12">
        <v>0</v>
      </c>
      <c r="E72" s="102">
        <f t="shared" si="12"/>
        <v>0.1461763922195578</v>
      </c>
      <c r="F72" s="102">
        <f t="shared" si="12"/>
        <v>-4.1844894922826725E-4</v>
      </c>
      <c r="G72" s="102">
        <f t="shared" si="12"/>
        <v>-2.1780082794548683E-2</v>
      </c>
      <c r="H72" s="102">
        <f t="shared" si="12"/>
        <v>-1</v>
      </c>
      <c r="I72" s="104"/>
      <c r="J72" s="105"/>
      <c r="K72" s="105"/>
      <c r="L72" s="105"/>
      <c r="M72" s="100"/>
      <c r="N72" s="72"/>
      <c r="O72" s="72"/>
      <c r="P72" s="72"/>
    </row>
    <row r="73" spans="2:16" x14ac:dyDescent="0.2">
      <c r="B73" s="15" t="s">
        <v>82</v>
      </c>
      <c r="C73" s="15"/>
      <c r="D73" s="12">
        <v>0</v>
      </c>
      <c r="E73" s="12" t="e">
        <f>(E25/D25)-1</f>
        <v>#DIV/0!</v>
      </c>
      <c r="F73" s="12">
        <f>(F25/E25)-1</f>
        <v>-1.9168857648763304E-2</v>
      </c>
      <c r="G73" s="12">
        <f>(G25/F25)-1</f>
        <v>-5.0383621220202679E-2</v>
      </c>
      <c r="H73" s="12">
        <f>(H25/G25)-1</f>
        <v>-1</v>
      </c>
      <c r="I73" s="97"/>
      <c r="M73" s="98"/>
      <c r="N73" s="73"/>
      <c r="O73" s="73"/>
      <c r="P73" s="73"/>
    </row>
    <row r="74" spans="2:16" x14ac:dyDescent="0.2">
      <c r="B74" s="15" t="s">
        <v>83</v>
      </c>
      <c r="C74" s="15"/>
      <c r="D74" s="12">
        <v>0</v>
      </c>
      <c r="E74" s="12" t="e">
        <f>(E15/D15)-1</f>
        <v>#VALUE!</v>
      </c>
      <c r="F74" s="12">
        <f>(F15/E15)-1</f>
        <v>0.10535156557570668</v>
      </c>
      <c r="G74" s="12">
        <f>(G15/F15)-1</f>
        <v>4.6088092128695246E-2</v>
      </c>
      <c r="H74" s="12">
        <f>(H15/G15)-1</f>
        <v>-1</v>
      </c>
      <c r="I74" s="97"/>
      <c r="M74" s="98"/>
      <c r="N74" s="73"/>
      <c r="O74" s="73"/>
      <c r="P74" s="73"/>
    </row>
    <row r="75" spans="2:16" x14ac:dyDescent="0.2">
      <c r="B75" s="15" t="s">
        <v>23</v>
      </c>
      <c r="C75" s="15"/>
      <c r="D75" s="12">
        <v>0</v>
      </c>
      <c r="E75" s="101" t="e">
        <f t="shared" ref="E75:H77" si="13">(E27/D27)-1</f>
        <v>#VALUE!</v>
      </c>
      <c r="F75" s="101" t="e">
        <f t="shared" si="13"/>
        <v>#VALUE!</v>
      </c>
      <c r="G75" s="101" t="e">
        <f t="shared" si="13"/>
        <v>#VALUE!</v>
      </c>
      <c r="H75" s="101">
        <f t="shared" si="13"/>
        <v>-1</v>
      </c>
      <c r="I75" s="97"/>
      <c r="M75" s="99"/>
      <c r="N75" s="73"/>
      <c r="O75" s="73"/>
      <c r="P75" s="73"/>
    </row>
    <row r="76" spans="2:16" x14ac:dyDescent="0.2">
      <c r="B76" s="15" t="s">
        <v>84</v>
      </c>
      <c r="C76" s="15"/>
      <c r="D76" s="12">
        <v>0</v>
      </c>
      <c r="E76" s="12" t="e">
        <f t="shared" si="13"/>
        <v>#DIV/0!</v>
      </c>
      <c r="F76" s="12">
        <f t="shared" si="13"/>
        <v>4.8597560975609762</v>
      </c>
      <c r="G76" s="12">
        <f t="shared" si="13"/>
        <v>-0.85015608740894899</v>
      </c>
      <c r="H76" s="12">
        <f t="shared" si="13"/>
        <v>-1</v>
      </c>
      <c r="I76" s="97"/>
      <c r="M76" s="98"/>
      <c r="N76" s="73"/>
      <c r="O76" s="73"/>
      <c r="P76" s="73"/>
    </row>
    <row r="77" spans="2:16" x14ac:dyDescent="0.2">
      <c r="B77" s="18" t="s">
        <v>85</v>
      </c>
      <c r="C77" s="15"/>
      <c r="D77" s="12">
        <v>0</v>
      </c>
      <c r="E77" s="102" t="e">
        <f t="shared" si="13"/>
        <v>#DIV/0!</v>
      </c>
      <c r="F77" s="102">
        <f t="shared" si="13"/>
        <v>-1.5595162316995093E-2</v>
      </c>
      <c r="G77" s="102">
        <f t="shared" si="13"/>
        <v>0.90720982864532118</v>
      </c>
      <c r="H77" s="102">
        <f t="shared" si="13"/>
        <v>-1</v>
      </c>
      <c r="I77" s="97">
        <v>8</v>
      </c>
      <c r="J77">
        <v>5</v>
      </c>
      <c r="K77">
        <v>5</v>
      </c>
      <c r="L77">
        <v>5</v>
      </c>
      <c r="M77" s="98"/>
    </row>
    <row r="78" spans="2:16" x14ac:dyDescent="0.2">
      <c r="B78" s="16" t="s">
        <v>74</v>
      </c>
      <c r="C78" s="15"/>
      <c r="D78" s="12">
        <v>0</v>
      </c>
      <c r="E78" s="12"/>
      <c r="F78" s="12"/>
      <c r="G78" s="12"/>
      <c r="H78" s="12"/>
      <c r="I78" s="97"/>
      <c r="M78" s="98"/>
    </row>
    <row r="79" spans="2:16" x14ac:dyDescent="0.2">
      <c r="B79" s="15" t="s">
        <v>65</v>
      </c>
      <c r="C79" s="15"/>
      <c r="D79" s="12">
        <v>0</v>
      </c>
      <c r="E79" s="12">
        <f>(E33/D33)-1</f>
        <v>0.13153336220393741</v>
      </c>
      <c r="F79" s="12">
        <f>(F33/E33)-1</f>
        <v>7.3010966364908114E-3</v>
      </c>
      <c r="G79" s="12">
        <f>(G33/F33)-1</f>
        <v>-6.6928731130627694E-3</v>
      </c>
      <c r="H79" s="12">
        <f>(H33/G33)-1</f>
        <v>-1</v>
      </c>
      <c r="I79" s="97">
        <v>3</v>
      </c>
      <c r="J79">
        <v>3.5</v>
      </c>
      <c r="K79">
        <v>4</v>
      </c>
      <c r="L79">
        <v>4</v>
      </c>
      <c r="M79" s="98"/>
    </row>
    <row r="80" spans="2:16" x14ac:dyDescent="0.2">
      <c r="B80" s="15" t="s">
        <v>68</v>
      </c>
      <c r="C80" s="15"/>
      <c r="D80" s="12">
        <v>0</v>
      </c>
      <c r="E80" s="12">
        <f>(E22/D22)-1</f>
        <v>0.24648627975905901</v>
      </c>
      <c r="F80" s="12">
        <f>(F22/E22)-1</f>
        <v>3.6818286415585266E-3</v>
      </c>
      <c r="G80" s="12">
        <f>(G22/F22)-1</f>
        <v>1.343141001146364E-2</v>
      </c>
      <c r="H80" s="12">
        <f>(H22/G22)-1</f>
        <v>-1</v>
      </c>
      <c r="I80" s="97"/>
      <c r="M80" s="98"/>
    </row>
    <row r="81" spans="2:14" x14ac:dyDescent="0.2">
      <c r="B81" s="18" t="s">
        <v>79</v>
      </c>
      <c r="C81" s="15"/>
      <c r="D81" s="12">
        <v>0</v>
      </c>
      <c r="E81" s="102">
        <f>(E35/D35)-1</f>
        <v>0.13710896237913373</v>
      </c>
      <c r="F81" s="102">
        <f>(F35/E35)-1</f>
        <v>6.2453552849712768E-3</v>
      </c>
      <c r="G81" s="102">
        <f>(G35/F35)-1</f>
        <v>-2.653069920038631E-2</v>
      </c>
      <c r="H81" s="102">
        <f>(H35/G35)-1</f>
        <v>-1</v>
      </c>
      <c r="I81" s="97"/>
      <c r="M81" s="98"/>
    </row>
    <row r="82" spans="2:14" x14ac:dyDescent="0.2">
      <c r="B82" s="15" t="s">
        <v>82</v>
      </c>
      <c r="C82" s="15"/>
      <c r="D82" s="12">
        <v>0</v>
      </c>
      <c r="E82" s="12" t="e">
        <f t="shared" ref="E82:H85" si="14">(E37/D37)-1</f>
        <v>#DIV/0!</v>
      </c>
      <c r="F82" s="12">
        <f t="shared" si="14"/>
        <v>-7.2199621379949286E-2</v>
      </c>
      <c r="G82" s="12">
        <f t="shared" si="14"/>
        <v>-4.3499967440144061E-2</v>
      </c>
      <c r="H82" s="12">
        <f t="shared" si="14"/>
        <v>-1</v>
      </c>
      <c r="I82" s="97">
        <v>2</v>
      </c>
      <c r="J82">
        <v>1.5</v>
      </c>
      <c r="K82">
        <v>1.5</v>
      </c>
      <c r="L82">
        <v>1.5</v>
      </c>
      <c r="M82" s="98"/>
    </row>
    <row r="83" spans="2:14" x14ac:dyDescent="0.2">
      <c r="B83" s="15" t="s">
        <v>83</v>
      </c>
      <c r="C83" s="15"/>
      <c r="D83" s="12">
        <v>0</v>
      </c>
      <c r="E83" s="12" t="e">
        <f t="shared" si="14"/>
        <v>#DIV/0!</v>
      </c>
      <c r="F83" s="12">
        <f t="shared" si="14"/>
        <v>0.10967387895892133</v>
      </c>
      <c r="G83" s="12">
        <f t="shared" si="14"/>
        <v>1.9427764040975015E-2</v>
      </c>
      <c r="H83" s="12">
        <f t="shared" si="14"/>
        <v>-1</v>
      </c>
      <c r="I83" s="97"/>
      <c r="M83" s="98"/>
    </row>
    <row r="84" spans="2:14" x14ac:dyDescent="0.2">
      <c r="B84" s="15" t="s">
        <v>84</v>
      </c>
      <c r="C84" s="15"/>
      <c r="D84" s="12">
        <v>0</v>
      </c>
      <c r="E84" s="12" t="e">
        <f t="shared" si="14"/>
        <v>#DIV/0!</v>
      </c>
      <c r="F84" s="12">
        <f t="shared" si="14"/>
        <v>0.26291079812206553</v>
      </c>
      <c r="G84" s="12">
        <f t="shared" si="14"/>
        <v>-1.8661710037174721</v>
      </c>
      <c r="H84" s="12">
        <f t="shared" si="14"/>
        <v>-1</v>
      </c>
      <c r="I84" s="97"/>
      <c r="M84" s="98"/>
    </row>
    <row r="85" spans="2:14" x14ac:dyDescent="0.2">
      <c r="B85" s="18" t="s">
        <v>85</v>
      </c>
      <c r="C85" s="15"/>
      <c r="D85" s="12">
        <v>0</v>
      </c>
      <c r="E85" s="102" t="e">
        <f t="shared" si="14"/>
        <v>#DIV/0!</v>
      </c>
      <c r="F85" s="102">
        <f t="shared" si="14"/>
        <v>0.34929922438427075</v>
      </c>
      <c r="G85" s="102">
        <f t="shared" si="14"/>
        <v>3.6607503025412713E-2</v>
      </c>
      <c r="H85" s="102">
        <f t="shared" si="14"/>
        <v>-1</v>
      </c>
      <c r="I85" s="97">
        <v>8</v>
      </c>
      <c r="J85">
        <v>8</v>
      </c>
      <c r="K85">
        <v>8</v>
      </c>
      <c r="L85">
        <v>8</v>
      </c>
      <c r="M85" s="100"/>
    </row>
    <row r="86" spans="2:14" x14ac:dyDescent="0.2">
      <c r="B86" s="15"/>
      <c r="C86" s="15"/>
      <c r="D86" s="12"/>
      <c r="E86" s="12"/>
      <c r="F86" s="12"/>
      <c r="G86" s="12"/>
      <c r="H86" s="12"/>
      <c r="I86" s="97"/>
      <c r="M86" s="98"/>
    </row>
    <row r="87" spans="2:14" x14ac:dyDescent="0.2">
      <c r="B87" s="16" t="s">
        <v>76</v>
      </c>
      <c r="C87" s="15"/>
      <c r="D87" s="12">
        <v>0</v>
      </c>
      <c r="E87" s="12"/>
      <c r="F87" s="12"/>
      <c r="G87" s="12"/>
      <c r="H87" s="12"/>
      <c r="I87" s="97"/>
      <c r="M87" s="98"/>
    </row>
    <row r="88" spans="2:14" x14ac:dyDescent="0.2">
      <c r="B88" s="15" t="s">
        <v>65</v>
      </c>
      <c r="C88" s="15"/>
      <c r="D88" s="12">
        <v>0</v>
      </c>
      <c r="E88" s="12">
        <f t="shared" ref="E88:H90" si="15">(E44/D44)-1</f>
        <v>0.68181818181818166</v>
      </c>
      <c r="F88" s="12">
        <f t="shared" si="15"/>
        <v>0</v>
      </c>
      <c r="G88" s="12">
        <f t="shared" si="15"/>
        <v>0.40540540540540548</v>
      </c>
      <c r="H88" s="12">
        <f t="shared" si="15"/>
        <v>-1</v>
      </c>
      <c r="I88" s="97"/>
      <c r="M88" s="98"/>
      <c r="N88" s="15"/>
    </row>
    <row r="89" spans="2:14" x14ac:dyDescent="0.2">
      <c r="B89" s="15" t="s">
        <v>68</v>
      </c>
      <c r="C89" s="15"/>
      <c r="D89" s="12">
        <v>0</v>
      </c>
      <c r="E89" s="12">
        <f t="shared" si="15"/>
        <v>0.25043269563612025</v>
      </c>
      <c r="F89" s="12">
        <f t="shared" si="15"/>
        <v>2.4545538433144998E-3</v>
      </c>
      <c r="G89" s="12">
        <f t="shared" si="15"/>
        <v>-1.3015943149600417E-2</v>
      </c>
      <c r="H89" s="12">
        <f t="shared" si="15"/>
        <v>-1</v>
      </c>
      <c r="I89" s="97"/>
      <c r="M89" s="98"/>
    </row>
    <row r="90" spans="2:14" x14ac:dyDescent="0.2">
      <c r="B90" s="18" t="s">
        <v>79</v>
      </c>
      <c r="C90" s="15"/>
      <c r="D90" s="12">
        <v>0</v>
      </c>
      <c r="E90" s="102">
        <f t="shared" si="15"/>
        <v>0.25021357160998359</v>
      </c>
      <c r="F90" s="102">
        <f t="shared" si="15"/>
        <v>2.456231070399717E-3</v>
      </c>
      <c r="G90" s="102">
        <f t="shared" si="15"/>
        <v>-1.3301155100311268E-2</v>
      </c>
      <c r="H90" s="102">
        <f t="shared" si="15"/>
        <v>-1</v>
      </c>
      <c r="I90" s="104"/>
      <c r="J90" s="105"/>
      <c r="K90" s="105"/>
      <c r="L90" s="105"/>
      <c r="M90" s="100"/>
    </row>
    <row r="91" spans="2:14" x14ac:dyDescent="0.2">
      <c r="B91" s="15" t="s">
        <v>82</v>
      </c>
      <c r="C91" s="15"/>
      <c r="D91" s="12">
        <v>0</v>
      </c>
      <c r="E91" s="12" t="e">
        <f t="shared" ref="E91:H95" si="16">(E48/D48)-1</f>
        <v>#DIV/0!</v>
      </c>
      <c r="F91" s="12">
        <f t="shared" si="16"/>
        <v>-7.0069331759847753E-4</v>
      </c>
      <c r="G91" s="12">
        <f t="shared" si="16"/>
        <v>-1.3285603572351201E-2</v>
      </c>
      <c r="H91" s="12">
        <f t="shared" si="16"/>
        <v>-1</v>
      </c>
      <c r="I91" s="97"/>
      <c r="M91" s="98"/>
    </row>
    <row r="92" spans="2:14" x14ac:dyDescent="0.2">
      <c r="B92" s="15" t="s">
        <v>83</v>
      </c>
      <c r="C92" s="15"/>
      <c r="D92" s="12">
        <v>0</v>
      </c>
      <c r="E92" s="12" t="e">
        <f t="shared" si="16"/>
        <v>#DIV/0!</v>
      </c>
      <c r="F92" s="12">
        <f t="shared" si="16"/>
        <v>0.29899556178462983</v>
      </c>
      <c r="G92" s="12">
        <f t="shared" si="16"/>
        <v>0.27746808128034517</v>
      </c>
      <c r="H92" s="12">
        <f t="shared" si="16"/>
        <v>-1</v>
      </c>
      <c r="I92" s="97">
        <v>27.7</v>
      </c>
      <c r="J92" s="97">
        <v>27.7</v>
      </c>
      <c r="K92" s="97">
        <v>27.7</v>
      </c>
      <c r="L92" s="97">
        <v>27.7</v>
      </c>
      <c r="M92" s="97">
        <v>27.7</v>
      </c>
    </row>
    <row r="93" spans="2:14" x14ac:dyDescent="0.2">
      <c r="B93" s="15" t="s">
        <v>23</v>
      </c>
      <c r="C93" s="15"/>
      <c r="D93" s="12">
        <v>0</v>
      </c>
      <c r="E93" s="12" t="e">
        <f t="shared" si="16"/>
        <v>#DIV/0!</v>
      </c>
      <c r="F93" s="12">
        <f t="shared" si="16"/>
        <v>6.8321392016376548E-2</v>
      </c>
      <c r="G93" s="12">
        <f t="shared" si="16"/>
        <v>-7.664670658682593E-3</v>
      </c>
      <c r="H93" s="12">
        <f t="shared" si="16"/>
        <v>-1</v>
      </c>
      <c r="I93" s="97"/>
      <c r="M93" s="98"/>
    </row>
    <row r="94" spans="2:14" x14ac:dyDescent="0.2">
      <c r="B94" s="15" t="s">
        <v>84</v>
      </c>
      <c r="C94" s="15"/>
      <c r="D94" s="12">
        <v>0</v>
      </c>
      <c r="E94" s="12" t="e">
        <f t="shared" si="16"/>
        <v>#DIV/0!</v>
      </c>
      <c r="F94" s="12">
        <f t="shared" si="16"/>
        <v>4.1102941176470589</v>
      </c>
      <c r="G94" s="12">
        <f t="shared" si="16"/>
        <v>-1.9294964028776977</v>
      </c>
      <c r="H94" s="12">
        <f t="shared" si="16"/>
        <v>-1</v>
      </c>
      <c r="I94" s="97"/>
      <c r="M94" s="98"/>
    </row>
    <row r="95" spans="2:14" x14ac:dyDescent="0.2">
      <c r="B95" s="18" t="s">
        <v>85</v>
      </c>
      <c r="C95" s="15"/>
      <c r="D95" s="12">
        <v>0</v>
      </c>
      <c r="E95" s="102" t="e">
        <f t="shared" si="16"/>
        <v>#DIV/0!</v>
      </c>
      <c r="F95" s="102">
        <f t="shared" si="16"/>
        <v>0.27630141973061528</v>
      </c>
      <c r="G95" s="102">
        <f t="shared" si="16"/>
        <v>1.5972618368511604E-2</v>
      </c>
      <c r="H95" s="102">
        <f t="shared" si="16"/>
        <v>-1</v>
      </c>
      <c r="I95" s="104"/>
      <c r="J95" s="105"/>
      <c r="K95" s="105"/>
      <c r="L95" s="105"/>
      <c r="M95" s="100"/>
    </row>
    <row r="96" spans="2:14" x14ac:dyDescent="0.2">
      <c r="D96" s="12"/>
      <c r="E96" s="12"/>
      <c r="F96" s="12"/>
      <c r="G96" s="12"/>
      <c r="H96" s="12"/>
      <c r="I96" s="97"/>
      <c r="M96" s="98"/>
    </row>
    <row r="97" spans="4:13" x14ac:dyDescent="0.2">
      <c r="D97" s="12"/>
      <c r="E97" s="12"/>
      <c r="F97" s="12"/>
      <c r="G97" s="12"/>
      <c r="H97" s="12"/>
      <c r="I97" s="97"/>
      <c r="M97" s="98"/>
    </row>
    <row r="98" spans="4:13" x14ac:dyDescent="0.2">
      <c r="D98" s="12"/>
      <c r="E98" s="12"/>
      <c r="F98" s="12"/>
      <c r="G98" s="12"/>
      <c r="H98" s="12"/>
      <c r="I98" s="97"/>
      <c r="M98" s="98"/>
    </row>
    <row r="99" spans="4:13" x14ac:dyDescent="0.2">
      <c r="D99" s="12"/>
      <c r="E99" s="12"/>
      <c r="F99" s="12"/>
      <c r="G99" s="12"/>
      <c r="H99" s="12"/>
      <c r="I99" s="97"/>
      <c r="M99" s="98"/>
    </row>
    <row r="100" spans="4:13" x14ac:dyDescent="0.2">
      <c r="D100" s="12"/>
      <c r="E100" s="12"/>
      <c r="F100" s="12"/>
      <c r="G100" s="12"/>
      <c r="H100" s="12"/>
      <c r="I100" s="97"/>
      <c r="M100" s="98"/>
    </row>
    <row r="101" spans="4:13" x14ac:dyDescent="0.2">
      <c r="D101" s="12"/>
      <c r="E101" s="12"/>
      <c r="F101" s="12"/>
      <c r="G101" s="12"/>
      <c r="H101" s="12"/>
      <c r="I101" s="97"/>
      <c r="M101" s="98"/>
    </row>
    <row r="102" spans="4:13" x14ac:dyDescent="0.2">
      <c r="D102" s="98"/>
      <c r="E102" s="98"/>
      <c r="F102" s="98"/>
      <c r="G102" s="98"/>
      <c r="H102" s="98"/>
      <c r="I102" s="97"/>
      <c r="M102" s="98"/>
    </row>
    <row r="103" spans="4:13" x14ac:dyDescent="0.2">
      <c r="I103" s="97"/>
    </row>
    <row r="104" spans="4:13" x14ac:dyDescent="0.2">
      <c r="I104" s="97"/>
    </row>
    <row r="105" spans="4:13" x14ac:dyDescent="0.2">
      <c r="I105" s="97"/>
    </row>
    <row r="107" spans="4:13" x14ac:dyDescent="0.2">
      <c r="I107" s="103"/>
      <c r="J107" s="103"/>
      <c r="K107" s="103"/>
      <c r="L107" s="10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B196-7228-5D40-A215-D69611A8228D}">
  <dimension ref="A1:F60"/>
  <sheetViews>
    <sheetView workbookViewId="0">
      <selection activeCell="B31" sqref="B31"/>
    </sheetView>
  </sheetViews>
  <sheetFormatPr baseColWidth="10" defaultColWidth="8.83203125" defaultRowHeight="15.75" customHeight="1" x14ac:dyDescent="0.2"/>
  <cols>
    <col min="1" max="1" width="61.1640625" customWidth="1"/>
    <col min="2" max="2" width="14.6640625" bestFit="1" customWidth="1"/>
    <col min="3" max="4" width="12.6640625" bestFit="1" customWidth="1"/>
    <col min="5" max="5" width="13" bestFit="1" customWidth="1"/>
  </cols>
  <sheetData>
    <row r="1" spans="1:6" x14ac:dyDescent="0.2">
      <c r="A1" s="138" t="s">
        <v>88</v>
      </c>
      <c r="B1" s="139"/>
      <c r="C1" s="140"/>
      <c r="D1" s="140" t="s">
        <v>0</v>
      </c>
      <c r="E1" s="139"/>
    </row>
    <row r="2" spans="1:6" x14ac:dyDescent="0.2">
      <c r="A2" s="138"/>
      <c r="B2" s="139" t="s">
        <v>3</v>
      </c>
      <c r="C2" s="139" t="s">
        <v>4</v>
      </c>
      <c r="D2" s="139" t="s">
        <v>5</v>
      </c>
      <c r="E2" s="139" t="s">
        <v>6</v>
      </c>
    </row>
    <row r="3" spans="1:6" x14ac:dyDescent="0.2">
      <c r="A3" s="169" t="s">
        <v>89</v>
      </c>
      <c r="B3" s="77"/>
      <c r="C3" s="77"/>
      <c r="D3" s="77"/>
      <c r="E3" s="77"/>
    </row>
    <row r="4" spans="1:6" x14ac:dyDescent="0.2">
      <c r="A4" s="171" t="s">
        <v>90</v>
      </c>
      <c r="B4" s="179">
        <v>1864.4</v>
      </c>
      <c r="C4" s="179">
        <v>2020.1</v>
      </c>
      <c r="D4" s="179">
        <v>2388.8000000000002</v>
      </c>
      <c r="E4" s="180">
        <v>2681.4</v>
      </c>
      <c r="F4" s="77"/>
    </row>
    <row r="5" spans="1:6" x14ac:dyDescent="0.2">
      <c r="A5" s="171" t="s">
        <v>91</v>
      </c>
      <c r="B5" s="181">
        <v>263.10000000000002</v>
      </c>
      <c r="C5" s="181">
        <v>264</v>
      </c>
      <c r="D5" s="181">
        <v>292.3</v>
      </c>
      <c r="E5" s="182">
        <v>297.39999999999998</v>
      </c>
      <c r="F5" s="77"/>
    </row>
    <row r="6" spans="1:6" x14ac:dyDescent="0.2">
      <c r="A6" s="171" t="s">
        <v>92</v>
      </c>
      <c r="B6" s="183">
        <v>334.7</v>
      </c>
      <c r="C6" s="183">
        <v>390.8</v>
      </c>
      <c r="D6" s="183">
        <v>417.5</v>
      </c>
      <c r="E6" s="184">
        <v>415.7</v>
      </c>
      <c r="F6" s="77"/>
    </row>
    <row r="7" spans="1:6" x14ac:dyDescent="0.2">
      <c r="A7" s="171" t="s">
        <v>93</v>
      </c>
      <c r="B7" s="181">
        <v>97.7</v>
      </c>
      <c r="C7" s="181">
        <v>99.7</v>
      </c>
      <c r="D7" s="181">
        <v>115.9</v>
      </c>
      <c r="E7" s="182">
        <v>138.1</v>
      </c>
      <c r="F7" s="77"/>
    </row>
    <row r="8" spans="1:6" x14ac:dyDescent="0.2">
      <c r="A8" s="171" t="s">
        <v>94</v>
      </c>
      <c r="B8" s="181">
        <v>80.3</v>
      </c>
      <c r="C8" s="181">
        <v>144.80000000000001</v>
      </c>
      <c r="D8" s="181">
        <v>88.9</v>
      </c>
      <c r="E8" s="182">
        <v>74.900000000000006</v>
      </c>
      <c r="F8" s="77"/>
    </row>
    <row r="9" spans="1:6" x14ac:dyDescent="0.2">
      <c r="A9" s="171" t="s">
        <v>95</v>
      </c>
      <c r="B9" s="183">
        <v>33.799999999999997</v>
      </c>
      <c r="C9" s="181">
        <v>65.3</v>
      </c>
      <c r="D9" s="181">
        <v>67.900000000000006</v>
      </c>
      <c r="E9" s="182">
        <v>69.5</v>
      </c>
      <c r="F9" s="77"/>
    </row>
    <row r="10" spans="1:6" x14ac:dyDescent="0.2">
      <c r="A10" s="171" t="s">
        <v>96</v>
      </c>
      <c r="B10" s="174">
        <v>1.4</v>
      </c>
      <c r="C10" s="185" t="s">
        <v>97</v>
      </c>
      <c r="D10" s="172">
        <v>12.8</v>
      </c>
      <c r="E10" s="186" t="s">
        <v>97</v>
      </c>
      <c r="F10" s="77"/>
    </row>
    <row r="11" spans="1:6" x14ac:dyDescent="0.2">
      <c r="A11" s="171" t="s">
        <v>98</v>
      </c>
      <c r="B11" s="172">
        <v>6.1</v>
      </c>
      <c r="C11" s="174">
        <v>10.7</v>
      </c>
      <c r="D11" s="174">
        <v>0.9</v>
      </c>
      <c r="E11" s="175">
        <v>49.9</v>
      </c>
      <c r="F11" s="77"/>
    </row>
    <row r="12" spans="1:6" x14ac:dyDescent="0.2">
      <c r="A12" s="171" t="s">
        <v>99</v>
      </c>
      <c r="B12" s="172">
        <v>7.1</v>
      </c>
      <c r="C12" s="172">
        <v>80.7</v>
      </c>
      <c r="D12" s="172">
        <v>1.3</v>
      </c>
      <c r="E12" s="173">
        <v>1.3</v>
      </c>
      <c r="F12" s="77"/>
    </row>
    <row r="13" spans="1:6" x14ac:dyDescent="0.2">
      <c r="A13" s="171" t="s">
        <v>100</v>
      </c>
      <c r="B13" s="172">
        <v>43.9</v>
      </c>
      <c r="C13" s="172">
        <v>6.8</v>
      </c>
      <c r="D13" s="172">
        <v>7</v>
      </c>
      <c r="E13" s="173">
        <v>6.1</v>
      </c>
      <c r="F13" s="77"/>
    </row>
    <row r="14" spans="1:6" x14ac:dyDescent="0.2">
      <c r="A14" s="171" t="s">
        <v>101</v>
      </c>
      <c r="B14" s="172">
        <v>200.2</v>
      </c>
      <c r="C14" s="172">
        <v>10.7</v>
      </c>
      <c r="D14" s="172">
        <v>85.6</v>
      </c>
      <c r="E14" s="173">
        <v>10.7</v>
      </c>
      <c r="F14" s="77"/>
    </row>
    <row r="15" spans="1:6" x14ac:dyDescent="0.2">
      <c r="A15" s="171" t="s">
        <v>102</v>
      </c>
      <c r="B15" s="172">
        <v>32.5</v>
      </c>
      <c r="C15" s="172">
        <v>31.5</v>
      </c>
      <c r="D15" s="172">
        <v>31.5</v>
      </c>
      <c r="E15" s="173">
        <v>31.5</v>
      </c>
      <c r="F15" s="77"/>
    </row>
    <row r="16" spans="1:6" x14ac:dyDescent="0.2">
      <c r="A16" s="171" t="s">
        <v>103</v>
      </c>
      <c r="B16" s="172">
        <v>46.6</v>
      </c>
      <c r="C16" s="172">
        <v>21.8</v>
      </c>
      <c r="D16" s="172">
        <v>241.1</v>
      </c>
      <c r="E16" s="173">
        <v>21.8</v>
      </c>
      <c r="F16" s="77"/>
    </row>
    <row r="17" spans="1:6" x14ac:dyDescent="0.2">
      <c r="A17" s="171" t="s">
        <v>104</v>
      </c>
      <c r="B17" s="172">
        <v>43.9</v>
      </c>
      <c r="C17" s="172">
        <v>6.8</v>
      </c>
      <c r="D17" s="172">
        <v>7</v>
      </c>
      <c r="E17" s="173">
        <v>6.1</v>
      </c>
      <c r="F17" s="77"/>
    </row>
    <row r="18" spans="1:6" x14ac:dyDescent="0.2">
      <c r="A18" s="171" t="s">
        <v>105</v>
      </c>
      <c r="B18" s="189">
        <v>3055.7</v>
      </c>
      <c r="C18" s="189">
        <v>3153.7</v>
      </c>
      <c r="D18" s="189">
        <v>3759.5</v>
      </c>
      <c r="E18" s="190">
        <v>3804.4</v>
      </c>
      <c r="F18" s="77"/>
    </row>
    <row r="19" spans="1:6" x14ac:dyDescent="0.2">
      <c r="A19" s="171" t="s">
        <v>106</v>
      </c>
      <c r="B19" s="172">
        <v>372</v>
      </c>
      <c r="C19" s="172">
        <v>644.5</v>
      </c>
      <c r="D19" s="172">
        <v>888.4</v>
      </c>
      <c r="E19" s="187">
        <v>1070</v>
      </c>
      <c r="F19" s="77"/>
    </row>
    <row r="20" spans="1:6" x14ac:dyDescent="0.2">
      <c r="A20" s="171" t="s">
        <v>107</v>
      </c>
      <c r="B20" s="172">
        <v>14.8</v>
      </c>
      <c r="C20" s="172">
        <v>33.200000000000003</v>
      </c>
      <c r="D20" s="172">
        <v>70.099999999999994</v>
      </c>
      <c r="E20" s="175">
        <v>11.6</v>
      </c>
      <c r="F20" s="77"/>
    </row>
    <row r="21" spans="1:6" x14ac:dyDescent="0.2">
      <c r="A21" s="171" t="s">
        <v>108</v>
      </c>
      <c r="B21" s="174">
        <v>210.9</v>
      </c>
      <c r="C21" s="172">
        <v>1003.1</v>
      </c>
      <c r="D21" s="172">
        <v>264.7</v>
      </c>
      <c r="E21" s="173">
        <v>78.900000000000006</v>
      </c>
      <c r="F21" s="77"/>
    </row>
    <row r="22" spans="1:6" x14ac:dyDescent="0.2">
      <c r="A22" s="171" t="s">
        <v>109</v>
      </c>
      <c r="B22" s="174">
        <v>122.5</v>
      </c>
      <c r="C22" s="174" t="s">
        <v>97</v>
      </c>
      <c r="D22" s="172">
        <v>103.7</v>
      </c>
      <c r="E22" s="175" t="s">
        <v>97</v>
      </c>
      <c r="F22" s="77"/>
    </row>
    <row r="23" spans="1:6" x14ac:dyDescent="0.2">
      <c r="A23" s="171" t="s">
        <v>110</v>
      </c>
      <c r="B23" s="172">
        <v>6.8</v>
      </c>
      <c r="C23" s="172">
        <v>59</v>
      </c>
      <c r="D23" s="172">
        <v>60</v>
      </c>
      <c r="E23" s="173">
        <v>59</v>
      </c>
      <c r="F23" s="77"/>
    </row>
    <row r="24" spans="1:6" x14ac:dyDescent="0.2">
      <c r="A24" s="171" t="s">
        <v>111</v>
      </c>
      <c r="B24" s="172">
        <v>-438.8</v>
      </c>
      <c r="C24" s="191">
        <v>1673.4</v>
      </c>
      <c r="D24" s="191">
        <v>1673.4</v>
      </c>
      <c r="E24" s="192">
        <v>-1196.3</v>
      </c>
      <c r="F24" s="77"/>
    </row>
    <row r="25" spans="1:6" x14ac:dyDescent="0.2">
      <c r="A25" s="171" t="s">
        <v>112</v>
      </c>
      <c r="B25" s="172">
        <v>763.9</v>
      </c>
      <c r="C25" s="172">
        <v>214.4</v>
      </c>
      <c r="D25" s="172">
        <v>603.9</v>
      </c>
      <c r="E25" s="173">
        <v>288.60000000000002</v>
      </c>
      <c r="F25" s="77"/>
    </row>
    <row r="26" spans="1:6" x14ac:dyDescent="0.2">
      <c r="A26" s="171" t="s">
        <v>113</v>
      </c>
      <c r="B26" s="172">
        <v>999.7</v>
      </c>
      <c r="C26" s="174" t="s">
        <v>97</v>
      </c>
      <c r="D26" s="174" t="s">
        <v>97</v>
      </c>
      <c r="E26" s="173">
        <v>848.7</v>
      </c>
      <c r="F26" s="77"/>
    </row>
    <row r="27" spans="1:6" x14ac:dyDescent="0.2">
      <c r="A27" s="171" t="s">
        <v>114</v>
      </c>
      <c r="B27" s="172">
        <v>11.5</v>
      </c>
      <c r="C27" s="172">
        <v>7.3</v>
      </c>
      <c r="D27" s="174" t="s">
        <v>97</v>
      </c>
      <c r="E27" s="173">
        <v>8.6</v>
      </c>
      <c r="F27" s="77"/>
    </row>
    <row r="28" spans="1:6" x14ac:dyDescent="0.2">
      <c r="A28" s="171" t="s">
        <v>115</v>
      </c>
      <c r="B28" s="172">
        <v>90</v>
      </c>
      <c r="C28" s="174">
        <v>30</v>
      </c>
      <c r="D28" s="188">
        <v>30</v>
      </c>
      <c r="E28" s="175" t="s">
        <v>116</v>
      </c>
      <c r="F28" s="77"/>
    </row>
    <row r="29" spans="1:6" x14ac:dyDescent="0.2">
      <c r="A29" s="171" t="s">
        <v>117</v>
      </c>
      <c r="B29" s="172">
        <v>10.1</v>
      </c>
      <c r="C29" s="172">
        <v>3.4</v>
      </c>
      <c r="D29" s="172">
        <v>5.6</v>
      </c>
      <c r="E29" s="173">
        <v>5.2</v>
      </c>
      <c r="F29" s="77"/>
    </row>
    <row r="30" spans="1:6" x14ac:dyDescent="0.2">
      <c r="A30" s="171" t="s">
        <v>118</v>
      </c>
      <c r="B30" s="172">
        <v>587.1</v>
      </c>
      <c r="C30" s="172">
        <v>618.5</v>
      </c>
      <c r="D30" s="172">
        <v>623.70000000000005</v>
      </c>
      <c r="E30" s="173">
        <v>723.4</v>
      </c>
      <c r="F30" s="77"/>
    </row>
    <row r="31" spans="1:6" x14ac:dyDescent="0.2">
      <c r="A31" s="171" t="s">
        <v>119</v>
      </c>
      <c r="B31" s="191">
        <v>1244.9000000000001</v>
      </c>
      <c r="C31" s="172">
        <v>-384.8</v>
      </c>
      <c r="D31" s="172">
        <v>4.5999999999999996</v>
      </c>
      <c r="E31" s="173">
        <v>430.1</v>
      </c>
      <c r="F31" s="77"/>
    </row>
    <row r="32" spans="1:6" x14ac:dyDescent="0.2">
      <c r="A32" s="171" t="s">
        <v>120</v>
      </c>
      <c r="B32" s="172">
        <v>9.8000000000000007</v>
      </c>
      <c r="C32" s="172">
        <v>28.8</v>
      </c>
      <c r="D32" s="172">
        <v>14.1</v>
      </c>
      <c r="E32" s="173">
        <v>12.2</v>
      </c>
      <c r="F32" s="77"/>
    </row>
    <row r="33" spans="1:6" x14ac:dyDescent="0.2">
      <c r="A33" s="171" t="s">
        <v>121</v>
      </c>
      <c r="B33" s="172">
        <v>60.9</v>
      </c>
      <c r="C33" s="172">
        <v>33.1</v>
      </c>
      <c r="D33" s="174" t="s">
        <v>122</v>
      </c>
      <c r="E33" s="173">
        <v>66.400000000000006</v>
      </c>
      <c r="F33" s="77"/>
    </row>
    <row r="34" spans="1:6" x14ac:dyDescent="0.2">
      <c r="A34" s="171" t="s">
        <v>123</v>
      </c>
      <c r="B34" s="172">
        <v>226.6</v>
      </c>
      <c r="C34" s="172">
        <v>165.7</v>
      </c>
      <c r="D34" s="172">
        <v>198.8</v>
      </c>
      <c r="E34" s="173">
        <v>276.8</v>
      </c>
      <c r="F34" s="77"/>
    </row>
    <row r="35" spans="1:6" x14ac:dyDescent="0.2">
      <c r="A35" s="176" t="s">
        <v>124</v>
      </c>
      <c r="B35" s="177">
        <v>165.7</v>
      </c>
      <c r="C35" s="177">
        <v>198.8</v>
      </c>
      <c r="D35" s="177">
        <v>276.8</v>
      </c>
      <c r="E35" s="178">
        <v>210.4</v>
      </c>
      <c r="F35" s="77"/>
    </row>
    <row r="36" spans="1:6" x14ac:dyDescent="0.2">
      <c r="A36" s="77"/>
      <c r="B36" s="77"/>
      <c r="C36" s="77"/>
      <c r="D36" s="77"/>
      <c r="E36" s="77"/>
      <c r="F36" s="77"/>
    </row>
    <row r="37" spans="1:6" x14ac:dyDescent="0.2"/>
    <row r="38" spans="1:6" x14ac:dyDescent="0.2"/>
    <row r="39" spans="1:6" x14ac:dyDescent="0.2"/>
    <row r="40" spans="1:6" x14ac:dyDescent="0.2"/>
    <row r="41" spans="1:6" x14ac:dyDescent="0.2"/>
    <row r="42" spans="1:6" x14ac:dyDescent="0.2"/>
    <row r="43" spans="1:6" x14ac:dyDescent="0.2"/>
    <row r="44" spans="1:6" x14ac:dyDescent="0.2"/>
    <row r="45" spans="1:6" x14ac:dyDescent="0.2"/>
    <row r="46" spans="1:6" x14ac:dyDescent="0.2"/>
    <row r="47" spans="1:6" x14ac:dyDescent="0.2"/>
    <row r="48" spans="1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4465-4F3E-9246-88F6-FBF4DF6CFFEF}">
  <dimension ref="B2:H41"/>
  <sheetViews>
    <sheetView tabSelected="1" zoomScaleNormal="100" workbookViewId="0">
      <selection activeCell="O31" sqref="O31"/>
    </sheetView>
  </sheetViews>
  <sheetFormatPr baseColWidth="10" defaultColWidth="8.83203125" defaultRowHeight="15.75" customHeight="1" x14ac:dyDescent="0.2"/>
  <cols>
    <col min="1" max="1" width="3.5" customWidth="1"/>
    <col min="2" max="2" width="45" customWidth="1"/>
  </cols>
  <sheetData>
    <row r="2" spans="2:8" x14ac:dyDescent="0.2">
      <c r="B2" s="222" t="s">
        <v>125</v>
      </c>
      <c r="C2" s="223"/>
      <c r="D2" s="223"/>
      <c r="E2" s="225" t="s">
        <v>0</v>
      </c>
      <c r="F2" s="223"/>
      <c r="G2" s="223"/>
    </row>
    <row r="3" spans="2:8" x14ac:dyDescent="0.2">
      <c r="B3" s="222" t="s">
        <v>126</v>
      </c>
      <c r="C3" s="224" t="s">
        <v>127</v>
      </c>
      <c r="D3" s="224" t="s">
        <v>3</v>
      </c>
      <c r="E3" s="224" t="s">
        <v>4</v>
      </c>
      <c r="F3" s="224" t="s">
        <v>5</v>
      </c>
      <c r="G3" s="224" t="s">
        <v>6</v>
      </c>
    </row>
    <row r="4" spans="2:8" ht="15.75" customHeight="1" x14ac:dyDescent="0.2">
      <c r="B4" s="210"/>
      <c r="C4" s="210"/>
      <c r="D4" s="210"/>
      <c r="E4" s="210"/>
      <c r="F4" s="210"/>
      <c r="G4" s="210"/>
    </row>
    <row r="5" spans="2:8" x14ac:dyDescent="0.2">
      <c r="B5" s="211" t="s">
        <v>128</v>
      </c>
      <c r="C5" s="212"/>
      <c r="D5" s="212"/>
      <c r="E5" s="212"/>
      <c r="F5" s="212"/>
      <c r="G5" s="212"/>
    </row>
    <row r="6" spans="2:8" x14ac:dyDescent="0.2">
      <c r="B6" s="210" t="s">
        <v>129</v>
      </c>
      <c r="C6" s="212"/>
      <c r="D6" s="212"/>
      <c r="E6" s="212"/>
      <c r="F6" s="212"/>
      <c r="G6" s="212"/>
    </row>
    <row r="7" spans="2:8" x14ac:dyDescent="0.2">
      <c r="B7" s="213" t="s">
        <v>130</v>
      </c>
      <c r="C7" s="214">
        <v>226.6</v>
      </c>
      <c r="D7" s="214">
        <v>165.7</v>
      </c>
      <c r="E7" s="214">
        <v>198.8</v>
      </c>
      <c r="F7" s="214">
        <v>276.8</v>
      </c>
      <c r="G7" s="214">
        <v>210.4</v>
      </c>
    </row>
    <row r="8" spans="2:8" x14ac:dyDescent="0.2">
      <c r="B8" s="213" t="s">
        <v>131</v>
      </c>
      <c r="C8" s="214">
        <v>2078.1</v>
      </c>
      <c r="D8" s="214">
        <v>2352.4</v>
      </c>
      <c r="E8" s="214">
        <v>2563.6</v>
      </c>
      <c r="F8" s="214">
        <v>2467.9</v>
      </c>
      <c r="G8" s="214">
        <v>2388.8000000000002</v>
      </c>
    </row>
    <row r="9" spans="2:8" x14ac:dyDescent="0.2">
      <c r="B9" s="213" t="s">
        <v>132</v>
      </c>
      <c r="C9" s="214">
        <v>1804.1</v>
      </c>
      <c r="D9" s="214">
        <v>1927.2</v>
      </c>
      <c r="E9" s="214">
        <v>2626.5</v>
      </c>
      <c r="F9" s="214">
        <v>2329.8000000000002</v>
      </c>
      <c r="G9" s="214">
        <v>2288.1</v>
      </c>
    </row>
    <row r="10" spans="2:8" x14ac:dyDescent="0.2">
      <c r="B10" s="213" t="s">
        <v>133</v>
      </c>
      <c r="C10" s="214">
        <v>482.6</v>
      </c>
      <c r="D10" s="214">
        <v>608.4</v>
      </c>
      <c r="E10" s="214">
        <v>518.79999999999995</v>
      </c>
      <c r="F10" s="214">
        <v>438.4</v>
      </c>
      <c r="G10" s="214">
        <v>513.5</v>
      </c>
    </row>
    <row r="11" spans="2:8" x14ac:dyDescent="0.2">
      <c r="B11" s="215" t="s">
        <v>134</v>
      </c>
      <c r="C11" s="216">
        <f>C7+C8+C9+C10</f>
        <v>4591.3999999999996</v>
      </c>
      <c r="D11" s="216">
        <f>D7+D8+D9+D10</f>
        <v>5053.7</v>
      </c>
      <c r="E11" s="216">
        <f>E7+E8+E9+E10</f>
        <v>5907.7</v>
      </c>
      <c r="F11" s="216">
        <f>F7+F8+F9+F10</f>
        <v>5512.9</v>
      </c>
      <c r="G11" s="216">
        <f>G7+G8+G9+G10</f>
        <v>5400.8</v>
      </c>
    </row>
    <row r="12" spans="2:8" x14ac:dyDescent="0.2">
      <c r="B12" s="217" t="s">
        <v>135</v>
      </c>
      <c r="C12" s="214">
        <v>1834.5</v>
      </c>
      <c r="D12" s="214">
        <v>1867.3</v>
      </c>
      <c r="E12" s="214">
        <v>2207</v>
      </c>
      <c r="F12" s="214">
        <v>2836.8</v>
      </c>
      <c r="G12" s="214">
        <v>3533.2</v>
      </c>
      <c r="H12" s="149"/>
    </row>
    <row r="13" spans="2:8" x14ac:dyDescent="0.2">
      <c r="B13" s="210" t="s">
        <v>136</v>
      </c>
      <c r="C13" s="214">
        <v>7049.1</v>
      </c>
      <c r="D13" s="214">
        <v>7134.6</v>
      </c>
      <c r="E13" s="214">
        <v>7583.2</v>
      </c>
      <c r="F13" s="214">
        <v>7626</v>
      </c>
      <c r="G13" s="214">
        <v>7580.1</v>
      </c>
      <c r="H13" s="149"/>
    </row>
    <row r="14" spans="2:8" x14ac:dyDescent="0.2">
      <c r="B14" s="210" t="s">
        <v>137</v>
      </c>
      <c r="C14" s="214">
        <v>4471.2</v>
      </c>
      <c r="D14" s="214">
        <v>4001.5</v>
      </c>
      <c r="E14" s="214">
        <v>4002</v>
      </c>
      <c r="F14" s="214">
        <v>3880.5</v>
      </c>
      <c r="G14" s="214">
        <v>3533.2</v>
      </c>
      <c r="H14" s="149"/>
    </row>
    <row r="15" spans="2:8" x14ac:dyDescent="0.2">
      <c r="B15" s="210" t="s">
        <v>138</v>
      </c>
      <c r="C15" s="214">
        <v>1761.1</v>
      </c>
      <c r="D15" s="214">
        <v>1820.6</v>
      </c>
      <c r="E15" s="214">
        <v>1866.8</v>
      </c>
      <c r="F15" s="214">
        <v>1887.4</v>
      </c>
      <c r="G15" s="214">
        <v>1953.8</v>
      </c>
      <c r="H15" s="149"/>
    </row>
    <row r="16" spans="2:8" x14ac:dyDescent="0.2">
      <c r="B16" s="210" t="s">
        <v>139</v>
      </c>
      <c r="C16" s="214">
        <v>694.3</v>
      </c>
      <c r="D16" s="214">
        <v>789</v>
      </c>
      <c r="E16" s="214">
        <v>1027.3</v>
      </c>
      <c r="F16" s="214">
        <v>1210.8</v>
      </c>
      <c r="G16" s="214">
        <v>1631.5</v>
      </c>
      <c r="H16" s="149"/>
    </row>
    <row r="17" spans="2:8" x14ac:dyDescent="0.2">
      <c r="B17" s="210" t="s">
        <v>140</v>
      </c>
      <c r="C17" s="216">
        <f>C11+C12+C13+C14+C15+C16</f>
        <v>20401.599999999999</v>
      </c>
      <c r="D17" s="216">
        <f>D11+D12+D13+D14+D15+D16</f>
        <v>20666.699999999997</v>
      </c>
      <c r="E17" s="216">
        <f>E11+E12+E13+E14+E15+E16</f>
        <v>22594</v>
      </c>
      <c r="F17" s="216">
        <f>F11+F12+F13+F14+F15+F16</f>
        <v>22954.400000000001</v>
      </c>
      <c r="G17" s="216">
        <f>G11+G12+G13+G14+G15+G16</f>
        <v>23632.6</v>
      </c>
    </row>
    <row r="18" spans="2:8" x14ac:dyDescent="0.2">
      <c r="B18" s="210"/>
      <c r="C18" s="212"/>
      <c r="D18" s="212"/>
      <c r="E18" s="212"/>
      <c r="F18" s="212"/>
      <c r="G18" s="212"/>
    </row>
    <row r="19" spans="2:8" x14ac:dyDescent="0.2">
      <c r="B19" s="211" t="s">
        <v>141</v>
      </c>
      <c r="C19" s="212"/>
      <c r="D19" s="212"/>
      <c r="E19" s="212"/>
      <c r="F19" s="212"/>
      <c r="G19" s="212"/>
    </row>
    <row r="20" spans="2:8" x14ac:dyDescent="0.2">
      <c r="B20" s="210" t="s">
        <v>142</v>
      </c>
      <c r="C20" s="212"/>
      <c r="D20" s="212"/>
      <c r="E20" s="212"/>
      <c r="F20" s="212"/>
      <c r="G20" s="212"/>
    </row>
    <row r="21" spans="2:8" x14ac:dyDescent="0.2">
      <c r="B21" s="218" t="s">
        <v>143</v>
      </c>
      <c r="C21" s="214">
        <v>0.1</v>
      </c>
      <c r="D21" s="214">
        <v>763.5</v>
      </c>
      <c r="E21" s="214">
        <v>978.1</v>
      </c>
      <c r="F21" s="214">
        <v>374.2</v>
      </c>
      <c r="G21" s="214">
        <v>662.4</v>
      </c>
    </row>
    <row r="22" spans="2:8" x14ac:dyDescent="0.2">
      <c r="B22" s="218" t="s">
        <v>103</v>
      </c>
      <c r="C22" s="214">
        <v>2117.8000000000002</v>
      </c>
      <c r="D22" s="214">
        <v>2403</v>
      </c>
      <c r="E22" s="214">
        <v>2436.5</v>
      </c>
      <c r="F22" s="214">
        <v>2315</v>
      </c>
      <c r="G22" s="214">
        <v>2253.1999999999998</v>
      </c>
    </row>
    <row r="23" spans="2:8" x14ac:dyDescent="0.2">
      <c r="B23" s="218" t="s">
        <v>144</v>
      </c>
      <c r="C23" s="214">
        <v>752.7</v>
      </c>
      <c r="D23" s="214">
        <v>716.6</v>
      </c>
      <c r="E23" s="214">
        <v>784.5</v>
      </c>
      <c r="F23" s="214">
        <v>862.7</v>
      </c>
      <c r="G23" s="214">
        <v>842.8</v>
      </c>
    </row>
    <row r="24" spans="2:8" x14ac:dyDescent="0.2">
      <c r="B24" s="218" t="s">
        <v>145</v>
      </c>
      <c r="C24" s="214">
        <v>183.5</v>
      </c>
      <c r="D24" s="214">
        <v>160.30000000000001</v>
      </c>
      <c r="E24" s="214">
        <v>197.4</v>
      </c>
      <c r="F24" s="214">
        <v>197.4</v>
      </c>
      <c r="G24" s="214">
        <v>174.3</v>
      </c>
    </row>
    <row r="25" spans="2:8" x14ac:dyDescent="0.2">
      <c r="B25" s="218" t="s">
        <v>146</v>
      </c>
      <c r="C25" s="214">
        <v>25.1</v>
      </c>
      <c r="D25" s="214">
        <v>260.60000000000002</v>
      </c>
      <c r="E25" s="214">
        <v>0.6</v>
      </c>
      <c r="F25" s="214">
        <v>1098.8</v>
      </c>
      <c r="G25" s="214">
        <v>1049.2</v>
      </c>
    </row>
    <row r="26" spans="2:8" x14ac:dyDescent="0.2">
      <c r="B26" s="218" t="s">
        <v>147</v>
      </c>
      <c r="C26" s="214">
        <v>387.3</v>
      </c>
      <c r="D26" s="214">
        <v>409.7</v>
      </c>
      <c r="E26" s="214">
        <v>425.3</v>
      </c>
      <c r="F26" s="214">
        <v>449.3</v>
      </c>
      <c r="G26" s="214">
        <v>466.6</v>
      </c>
    </row>
    <row r="27" spans="2:8" x14ac:dyDescent="0.2">
      <c r="B27" s="218" t="s">
        <v>148</v>
      </c>
      <c r="C27" s="214">
        <v>1127.9000000000001</v>
      </c>
      <c r="D27" s="214">
        <v>1005.8</v>
      </c>
      <c r="E27" s="214">
        <v>1138.3</v>
      </c>
      <c r="F27" s="214">
        <v>1329.5</v>
      </c>
      <c r="G27" s="214">
        <v>1360.2</v>
      </c>
    </row>
    <row r="28" spans="2:8" x14ac:dyDescent="0.2">
      <c r="B28" s="219" t="s">
        <v>149</v>
      </c>
      <c r="C28" s="216">
        <f>C21+C22+C23+C24+C25+C26+C27</f>
        <v>4594.4000000000005</v>
      </c>
      <c r="D28" s="216">
        <f>D21+D22+D23+D24+D25+D26+D27</f>
        <v>5719.5</v>
      </c>
      <c r="E28" s="216">
        <f>E21+E22+E23+E24+E25+E26+E27</f>
        <v>5960.7000000000007</v>
      </c>
      <c r="F28" s="216">
        <f>F21+F22+F23+F24+F25+F26+F27</f>
        <v>6626.9</v>
      </c>
      <c r="G28" s="216">
        <f>G21+G22+G23+G24+G25+G26+G27</f>
        <v>6808.7</v>
      </c>
    </row>
    <row r="29" spans="2:8" x14ac:dyDescent="0.2">
      <c r="B29" s="210" t="s">
        <v>150</v>
      </c>
      <c r="C29" s="214">
        <v>8266.9</v>
      </c>
      <c r="D29" s="214">
        <v>8590.9</v>
      </c>
      <c r="E29" s="214">
        <v>9591</v>
      </c>
      <c r="F29" s="214">
        <v>8377.9</v>
      </c>
      <c r="G29" s="214">
        <v>8176.8</v>
      </c>
      <c r="H29" s="149"/>
    </row>
    <row r="30" spans="2:8" x14ac:dyDescent="0.2">
      <c r="B30" s="210" t="s">
        <v>151</v>
      </c>
      <c r="C30" s="214">
        <v>275.60000000000002</v>
      </c>
      <c r="D30" s="214">
        <v>259.39999999999998</v>
      </c>
      <c r="E30" s="214">
        <v>139.30000000000001</v>
      </c>
      <c r="F30" s="214">
        <v>133.19999999999999</v>
      </c>
      <c r="G30" s="214">
        <v>120.7</v>
      </c>
      <c r="H30" s="149"/>
    </row>
    <row r="31" spans="2:8" x14ac:dyDescent="0.2">
      <c r="B31" s="210" t="s">
        <v>152</v>
      </c>
      <c r="C31" s="214">
        <v>846.1</v>
      </c>
      <c r="D31" s="214">
        <v>768.2</v>
      </c>
      <c r="E31" s="214">
        <v>681.6</v>
      </c>
      <c r="F31" s="214">
        <v>683.1</v>
      </c>
      <c r="G31" s="214">
        <v>607.5</v>
      </c>
      <c r="H31" s="149"/>
    </row>
    <row r="32" spans="2:8" x14ac:dyDescent="0.2">
      <c r="B32" s="210" t="s">
        <v>153</v>
      </c>
      <c r="C32" s="214">
        <v>1434.1</v>
      </c>
      <c r="D32" s="214">
        <v>1470.7</v>
      </c>
      <c r="E32" s="214">
        <v>1512.9</v>
      </c>
      <c r="F32" s="214">
        <v>1509.5</v>
      </c>
      <c r="G32" s="214">
        <v>1558.3</v>
      </c>
      <c r="H32" s="149"/>
    </row>
    <row r="33" spans="2:8" x14ac:dyDescent="0.2">
      <c r="B33" s="210" t="s">
        <v>154</v>
      </c>
      <c r="C33" s="214">
        <v>1373.7</v>
      </c>
      <c r="D33" s="214">
        <v>1420.8</v>
      </c>
      <c r="E33" s="214">
        <v>1606.4</v>
      </c>
      <c r="F33" s="214">
        <v>1908</v>
      </c>
      <c r="G33" s="214">
        <v>2309.4</v>
      </c>
      <c r="H33" s="149"/>
    </row>
    <row r="34" spans="2:8" x14ac:dyDescent="0.2">
      <c r="B34" s="210" t="s">
        <v>155</v>
      </c>
      <c r="C34" s="214"/>
      <c r="D34" s="214"/>
      <c r="E34" s="214"/>
      <c r="F34" s="214"/>
      <c r="G34" s="214"/>
      <c r="H34" s="149"/>
    </row>
    <row r="35" spans="2:8" x14ac:dyDescent="0.2">
      <c r="B35" s="220" t="s">
        <v>156</v>
      </c>
      <c r="C35" s="214">
        <v>89.9</v>
      </c>
      <c r="D35" s="214">
        <v>90.8</v>
      </c>
      <c r="E35" s="214">
        <v>91.2</v>
      </c>
      <c r="F35" s="214">
        <v>91.8</v>
      </c>
      <c r="G35" s="214">
        <v>92.5</v>
      </c>
      <c r="H35" s="149"/>
    </row>
    <row r="36" spans="2:8" x14ac:dyDescent="0.2">
      <c r="B36" s="220" t="s">
        <v>157</v>
      </c>
      <c r="C36" s="214">
        <v>3491.4</v>
      </c>
      <c r="D36" s="214">
        <v>3793</v>
      </c>
      <c r="E36" s="214">
        <v>3963.9</v>
      </c>
      <c r="F36" s="214">
        <v>4193.6000000000004</v>
      </c>
      <c r="G36" s="214">
        <v>4576.2</v>
      </c>
      <c r="H36" s="149"/>
    </row>
    <row r="37" spans="2:8" x14ac:dyDescent="0.2">
      <c r="B37" s="220" t="s">
        <v>158</v>
      </c>
      <c r="C37" s="214">
        <v>844.3</v>
      </c>
      <c r="D37" s="214">
        <v>2121.6999999999998</v>
      </c>
      <c r="E37" s="214">
        <v>3523.2</v>
      </c>
      <c r="F37" s="214">
        <v>5288.3</v>
      </c>
      <c r="G37" s="214">
        <v>7246.3</v>
      </c>
      <c r="H37" s="149"/>
    </row>
    <row r="38" spans="2:8" x14ac:dyDescent="0.2">
      <c r="B38" s="220" t="s">
        <v>159</v>
      </c>
      <c r="C38" s="214">
        <v>-96.5</v>
      </c>
      <c r="D38" s="214">
        <v>-2869.9</v>
      </c>
      <c r="E38" s="214">
        <v>-3775.6</v>
      </c>
      <c r="F38" s="214">
        <v>-5233.6000000000004</v>
      </c>
      <c r="G38" s="214">
        <v>-6988.6</v>
      </c>
      <c r="H38" s="149"/>
    </row>
    <row r="39" spans="2:8" x14ac:dyDescent="0.2">
      <c r="B39" s="220" t="s">
        <v>160</v>
      </c>
      <c r="C39" s="214">
        <v>-718.3</v>
      </c>
      <c r="D39" s="214">
        <v>-698.4</v>
      </c>
      <c r="E39" s="214">
        <v>-700.6</v>
      </c>
      <c r="F39" s="214">
        <v>-624.29999999999995</v>
      </c>
      <c r="G39" s="214">
        <v>-875.2</v>
      </c>
      <c r="H39" s="149"/>
    </row>
    <row r="40" spans="2:8" x14ac:dyDescent="0.2">
      <c r="B40" s="221" t="s">
        <v>161</v>
      </c>
      <c r="C40" s="216">
        <f>C35+C36+C37+C38+C39</f>
        <v>3610.8</v>
      </c>
      <c r="D40" s="216">
        <f>D35+D36+D37+D38+D39</f>
        <v>2437.1999999999998</v>
      </c>
      <c r="E40" s="216">
        <f>E35+E36+E37+E38+E39</f>
        <v>3102.0999999999995</v>
      </c>
      <c r="F40" s="216">
        <f>F35+F36+F37+F38+F39</f>
        <v>3715.8</v>
      </c>
      <c r="G40" s="216">
        <f>G35+G36+G37+G38+G39</f>
        <v>4051.2</v>
      </c>
    </row>
    <row r="41" spans="2:8" x14ac:dyDescent="0.2">
      <c r="B41" s="210" t="s">
        <v>162</v>
      </c>
      <c r="C41" s="216">
        <f>C28+C29+C30+C31+C32+C33+C40</f>
        <v>20401.599999999999</v>
      </c>
      <c r="D41" s="216">
        <f>D28+D29+D30+D31+D32+D33+D40</f>
        <v>20666.7</v>
      </c>
      <c r="E41" s="216">
        <f>E28+E29+E30+E31+E32+E33+E40</f>
        <v>22594</v>
      </c>
      <c r="F41" s="216">
        <f>F28+F29+F30+F31+F32+F33+F40</f>
        <v>22954.399999999998</v>
      </c>
      <c r="G41" s="216">
        <f>G28+G29+G30+G31+G32+G33+G40</f>
        <v>23632.600000000002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8B71-6E30-1744-8A26-F9D2DC916A1C}">
  <dimension ref="A1:I12"/>
  <sheetViews>
    <sheetView workbookViewId="0">
      <selection activeCell="D16" sqref="D16"/>
    </sheetView>
  </sheetViews>
  <sheetFormatPr baseColWidth="10" defaultColWidth="8.83203125" defaultRowHeight="16" x14ac:dyDescent="0.2"/>
  <cols>
    <col min="1" max="1" width="3.6640625" customWidth="1"/>
    <col min="2" max="2" width="20.1640625" customWidth="1"/>
    <col min="3" max="3" width="14.33203125" customWidth="1"/>
    <col min="4" max="4" width="14.5" customWidth="1"/>
    <col min="5" max="5" width="10.6640625" customWidth="1"/>
    <col min="6" max="6" width="11.83203125" customWidth="1"/>
    <col min="7" max="7" width="14.1640625" customWidth="1"/>
    <col min="8" max="9" width="13.6640625" customWidth="1"/>
  </cols>
  <sheetData>
    <row r="1" spans="1:9" x14ac:dyDescent="0.2">
      <c r="A1" s="91"/>
      <c r="B1" s="80" t="s">
        <v>163</v>
      </c>
      <c r="C1" s="80"/>
      <c r="D1" s="85" t="s">
        <v>164</v>
      </c>
      <c r="E1" s="85" t="s">
        <v>165</v>
      </c>
      <c r="F1" s="81" t="s">
        <v>166</v>
      </c>
      <c r="G1" s="85" t="s">
        <v>167</v>
      </c>
      <c r="H1" s="81" t="s">
        <v>166</v>
      </c>
    </row>
    <row r="2" spans="1:9" x14ac:dyDescent="0.2">
      <c r="A2" s="91"/>
      <c r="B2" s="82" t="s">
        <v>168</v>
      </c>
      <c r="C2" s="83" t="s">
        <v>169</v>
      </c>
      <c r="D2" s="84" t="s">
        <v>170</v>
      </c>
      <c r="E2" s="84" t="s">
        <v>171</v>
      </c>
      <c r="F2" s="84" t="s">
        <v>172</v>
      </c>
      <c r="G2" s="84" t="s">
        <v>173</v>
      </c>
      <c r="H2" s="84" t="s">
        <v>174</v>
      </c>
    </row>
    <row r="3" spans="1:9" x14ac:dyDescent="0.2">
      <c r="B3" s="78" t="s">
        <v>175</v>
      </c>
      <c r="C3" s="79" t="s">
        <v>176</v>
      </c>
      <c r="D3" s="106">
        <v>220.14</v>
      </c>
      <c r="E3" s="106">
        <v>241.28</v>
      </c>
      <c r="F3" s="107" t="s">
        <v>177</v>
      </c>
      <c r="G3" s="107" t="s">
        <v>178</v>
      </c>
      <c r="H3" s="107" t="s">
        <v>179</v>
      </c>
      <c r="I3" t="s">
        <v>180</v>
      </c>
    </row>
    <row r="4" spans="1:9" x14ac:dyDescent="0.2">
      <c r="B4" s="78" t="s">
        <v>181</v>
      </c>
      <c r="C4" s="79" t="s">
        <v>182</v>
      </c>
      <c r="D4" s="106">
        <v>23.59</v>
      </c>
      <c r="E4" s="106">
        <v>29.91</v>
      </c>
      <c r="F4" s="107" t="s">
        <v>183</v>
      </c>
      <c r="G4" s="107" t="s">
        <v>184</v>
      </c>
      <c r="H4" s="107" t="s">
        <v>185</v>
      </c>
      <c r="I4" t="s">
        <v>180</v>
      </c>
    </row>
    <row r="5" spans="1:9" x14ac:dyDescent="0.2">
      <c r="B5" s="78" t="s">
        <v>186</v>
      </c>
      <c r="C5" s="79" t="s">
        <v>187</v>
      </c>
      <c r="D5" s="106">
        <v>14.91</v>
      </c>
      <c r="E5" s="106">
        <v>17.62</v>
      </c>
      <c r="F5" s="107" t="s">
        <v>188</v>
      </c>
      <c r="G5" s="107" t="s">
        <v>189</v>
      </c>
      <c r="H5" s="107" t="s">
        <v>190</v>
      </c>
      <c r="I5" t="s">
        <v>180</v>
      </c>
    </row>
    <row r="6" spans="1:9" x14ac:dyDescent="0.2">
      <c r="B6" s="78" t="s">
        <v>191</v>
      </c>
      <c r="C6" s="79" t="s">
        <v>192</v>
      </c>
      <c r="D6" s="106">
        <v>14.86</v>
      </c>
      <c r="E6" s="106">
        <v>17.7</v>
      </c>
      <c r="F6" s="107" t="s">
        <v>193</v>
      </c>
      <c r="G6" s="107" t="s">
        <v>194</v>
      </c>
      <c r="H6" s="107" t="s">
        <v>195</v>
      </c>
      <c r="I6" t="s">
        <v>180</v>
      </c>
    </row>
    <row r="7" spans="1:9" x14ac:dyDescent="0.2">
      <c r="B7" s="167" t="s">
        <v>196</v>
      </c>
      <c r="C7" s="168" t="s">
        <v>197</v>
      </c>
      <c r="D7" s="106">
        <v>6.11</v>
      </c>
      <c r="E7" s="106">
        <v>8.9</v>
      </c>
      <c r="F7" s="107" t="s">
        <v>198</v>
      </c>
      <c r="G7" s="107" t="s">
        <v>199</v>
      </c>
      <c r="H7" s="107" t="s">
        <v>200</v>
      </c>
      <c r="I7" t="s">
        <v>180</v>
      </c>
    </row>
    <row r="8" spans="1:9" x14ac:dyDescent="0.2">
      <c r="B8" s="77"/>
      <c r="C8" s="77"/>
      <c r="D8" s="77"/>
      <c r="E8" s="77"/>
      <c r="F8" s="108"/>
      <c r="G8" s="108"/>
      <c r="H8" s="108"/>
    </row>
    <row r="9" spans="1:9" x14ac:dyDescent="0.2">
      <c r="B9" s="170"/>
      <c r="C9" s="77"/>
      <c r="D9" s="77"/>
      <c r="E9" t="s">
        <v>201</v>
      </c>
      <c r="F9" s="109" t="s">
        <v>202</v>
      </c>
      <c r="G9" s="110" t="s">
        <v>203</v>
      </c>
      <c r="H9" s="110" t="s">
        <v>204</v>
      </c>
    </row>
    <row r="10" spans="1:9" x14ac:dyDescent="0.2">
      <c r="B10" s="170"/>
      <c r="C10" s="77"/>
      <c r="D10" s="77"/>
      <c r="E10" t="s">
        <v>205</v>
      </c>
      <c r="F10" s="111" t="s">
        <v>193</v>
      </c>
      <c r="G10" s="112" t="s">
        <v>194</v>
      </c>
      <c r="H10" s="112" t="s">
        <v>185</v>
      </c>
    </row>
    <row r="11" spans="1:9" x14ac:dyDescent="0.2">
      <c r="B11" s="170"/>
      <c r="C11" s="77"/>
      <c r="D11" s="77"/>
      <c r="E11" t="s">
        <v>206</v>
      </c>
      <c r="F11" s="113" t="s">
        <v>177</v>
      </c>
      <c r="G11" s="107" t="s">
        <v>178</v>
      </c>
      <c r="H11" s="107" t="s">
        <v>179</v>
      </c>
    </row>
    <row r="12" spans="1:9" x14ac:dyDescent="0.2">
      <c r="B12" s="170"/>
      <c r="C12" s="77"/>
      <c r="D12" s="77"/>
      <c r="E12" t="s">
        <v>207</v>
      </c>
      <c r="F12" s="113" t="s">
        <v>198</v>
      </c>
      <c r="G12" s="107" t="s">
        <v>199</v>
      </c>
      <c r="H12" s="107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6641-AE8F-B845-82A6-7A90A71997AA}">
  <dimension ref="A1:J20"/>
  <sheetViews>
    <sheetView workbookViewId="0">
      <selection activeCell="E29" sqref="E29"/>
    </sheetView>
  </sheetViews>
  <sheetFormatPr baseColWidth="10" defaultColWidth="8.83203125" defaultRowHeight="15.75" customHeight="1" x14ac:dyDescent="0.2"/>
  <cols>
    <col min="1" max="1" width="3.6640625" customWidth="1"/>
    <col min="2" max="2" width="41.1640625" customWidth="1"/>
    <col min="3" max="3" width="9.6640625" customWidth="1"/>
    <col min="5" max="5" width="41.33203125" customWidth="1"/>
    <col min="6" max="6" width="9.6640625" customWidth="1"/>
    <col min="8" max="8" width="41.33203125" customWidth="1"/>
    <col min="9" max="9" width="9.6640625" customWidth="1"/>
    <col min="10" max="10" width="10.1640625" bestFit="1" customWidth="1"/>
    <col min="13" max="13" width="9.1640625" bestFit="1" customWidth="1"/>
  </cols>
  <sheetData>
    <row r="1" spans="1:10" ht="16" x14ac:dyDescent="0.2">
      <c r="A1" s="122"/>
      <c r="B1" s="126" t="s">
        <v>172</v>
      </c>
      <c r="C1" s="128"/>
      <c r="E1" s="126" t="s">
        <v>173</v>
      </c>
      <c r="F1" s="129"/>
      <c r="H1" s="126" t="s">
        <v>208</v>
      </c>
      <c r="I1" s="128"/>
    </row>
    <row r="2" spans="1:10" ht="16" x14ac:dyDescent="0.2">
      <c r="A2" s="122"/>
      <c r="B2" s="127" t="s">
        <v>209</v>
      </c>
      <c r="C2" s="125"/>
      <c r="E2" s="84" t="s">
        <v>209</v>
      </c>
      <c r="F2" s="130"/>
      <c r="H2" s="127" t="s">
        <v>209</v>
      </c>
      <c r="I2" s="125"/>
    </row>
    <row r="3" spans="1:10" ht="16" x14ac:dyDescent="0.2">
      <c r="A3" s="115"/>
      <c r="C3" s="115"/>
      <c r="F3" s="115"/>
      <c r="I3" s="115"/>
    </row>
    <row r="4" spans="1:10" ht="16" x14ac:dyDescent="0.2">
      <c r="A4" s="115"/>
      <c r="B4" t="s">
        <v>32</v>
      </c>
      <c r="C4" s="116">
        <v>4491.5</v>
      </c>
      <c r="E4" t="s">
        <v>78</v>
      </c>
      <c r="F4" s="131">
        <f>'Income Statement'!E3</f>
        <v>23098500</v>
      </c>
      <c r="H4" t="s">
        <v>210</v>
      </c>
      <c r="I4" s="117">
        <v>10.68</v>
      </c>
    </row>
    <row r="5" spans="1:10" ht="16" x14ac:dyDescent="0.2">
      <c r="A5" s="115"/>
      <c r="B5" t="s">
        <v>211</v>
      </c>
      <c r="C5" s="117" t="s">
        <v>193</v>
      </c>
      <c r="E5" t="s">
        <v>211</v>
      </c>
      <c r="F5" s="117" t="str">
        <f>Comparisons!G10</f>
        <v>2.31x</v>
      </c>
      <c r="H5" t="s">
        <v>211</v>
      </c>
      <c r="I5" s="117" t="s">
        <v>212</v>
      </c>
    </row>
    <row r="6" spans="1:10" ht="15.75" customHeight="1" x14ac:dyDescent="0.2">
      <c r="A6" s="115"/>
      <c r="C6" s="115"/>
      <c r="F6" s="132"/>
      <c r="I6" s="118"/>
    </row>
    <row r="7" spans="1:10" ht="16" x14ac:dyDescent="0.2">
      <c r="A7" s="115"/>
      <c r="B7" s="22" t="s">
        <v>213</v>
      </c>
      <c r="C7" s="119">
        <v>64138620</v>
      </c>
      <c r="E7" s="22" t="s">
        <v>213</v>
      </c>
      <c r="F7" s="133">
        <v>53357.54</v>
      </c>
      <c r="H7" s="22" t="s">
        <v>214</v>
      </c>
      <c r="I7" s="118"/>
      <c r="J7" s="141"/>
    </row>
    <row r="8" spans="1:10" ht="16" x14ac:dyDescent="0.2">
      <c r="A8" s="115"/>
      <c r="B8" t="s">
        <v>215</v>
      </c>
      <c r="C8" s="118">
        <v>9888.4</v>
      </c>
      <c r="E8" t="s">
        <v>216</v>
      </c>
      <c r="F8" s="118">
        <v>9888.4</v>
      </c>
      <c r="H8" t="s">
        <v>215</v>
      </c>
      <c r="I8" s="118">
        <v>9888.4</v>
      </c>
    </row>
    <row r="9" spans="1:10" ht="16" x14ac:dyDescent="0.2">
      <c r="A9" s="115"/>
      <c r="B9" t="s">
        <v>217</v>
      </c>
      <c r="C9" s="115">
        <v>210.4</v>
      </c>
      <c r="E9" t="s">
        <v>218</v>
      </c>
      <c r="F9" s="115">
        <v>210.4</v>
      </c>
      <c r="H9" t="s">
        <v>217</v>
      </c>
      <c r="I9" s="136">
        <v>210.4</v>
      </c>
    </row>
    <row r="10" spans="1:10" ht="16" x14ac:dyDescent="0.2">
      <c r="A10" s="115"/>
      <c r="B10" s="22" t="s">
        <v>219</v>
      </c>
      <c r="C10" s="119">
        <f>C7-C8+C9</f>
        <v>64128942</v>
      </c>
      <c r="E10" s="22" t="s">
        <v>219</v>
      </c>
      <c r="F10" s="133">
        <f>F7+F9-F8</f>
        <v>43679.54</v>
      </c>
      <c r="H10" s="22" t="s">
        <v>219</v>
      </c>
      <c r="I10" s="137">
        <v>91481.64</v>
      </c>
    </row>
    <row r="11" spans="1:10" ht="16" x14ac:dyDescent="0.2">
      <c r="A11" s="115"/>
      <c r="B11" t="s">
        <v>36</v>
      </c>
      <c r="C11" s="120">
        <v>258</v>
      </c>
      <c r="E11" t="s">
        <v>36</v>
      </c>
      <c r="F11" s="120">
        <v>258</v>
      </c>
      <c r="H11" t="s">
        <v>36</v>
      </c>
      <c r="I11" s="120">
        <v>258</v>
      </c>
    </row>
    <row r="12" spans="1:10" ht="15.75" customHeight="1" x14ac:dyDescent="0.2">
      <c r="A12" s="115"/>
      <c r="C12" s="115"/>
      <c r="F12" s="115"/>
      <c r="I12" s="115"/>
    </row>
    <row r="13" spans="1:10" ht="16" x14ac:dyDescent="0.2">
      <c r="A13" s="115"/>
      <c r="B13" s="22" t="s">
        <v>220</v>
      </c>
      <c r="C13" s="193">
        <f>C10/C11</f>
        <v>248561.79069767441</v>
      </c>
      <c r="E13" s="22" t="s">
        <v>220</v>
      </c>
      <c r="F13" s="115">
        <v>128.41</v>
      </c>
      <c r="H13" s="22" t="s">
        <v>220</v>
      </c>
      <c r="I13" s="134">
        <v>354.57600000000002</v>
      </c>
    </row>
    <row r="14" spans="1:10" ht="15.75" customHeight="1" x14ac:dyDescent="0.2">
      <c r="A14" s="115"/>
      <c r="B14" s="114" t="s">
        <v>221</v>
      </c>
      <c r="C14" s="114">
        <v>340.16</v>
      </c>
      <c r="E14" t="s">
        <v>221</v>
      </c>
      <c r="F14" s="115">
        <v>340.16</v>
      </c>
      <c r="H14" s="114" t="s">
        <v>221</v>
      </c>
      <c r="I14" s="121">
        <v>340.16</v>
      </c>
    </row>
    <row r="15" spans="1:10" ht="16" x14ac:dyDescent="0.2">
      <c r="A15" s="115"/>
      <c r="B15" s="123" t="s">
        <v>222</v>
      </c>
      <c r="C15" s="194">
        <v>0.26919999999999999</v>
      </c>
      <c r="E15" s="195" t="s">
        <v>222</v>
      </c>
      <c r="F15" s="124">
        <v>0.62250000000000005</v>
      </c>
      <c r="H15" s="123" t="s">
        <v>222</v>
      </c>
      <c r="I15" s="135">
        <v>4.24E-2</v>
      </c>
    </row>
    <row r="16" spans="1:10" ht="16" x14ac:dyDescent="0.2"/>
    <row r="17" ht="16" x14ac:dyDescent="0.2"/>
    <row r="19" ht="16" x14ac:dyDescent="0.2"/>
    <row r="20" ht="16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Statement</vt:lpstr>
      <vt:lpstr>Revenue Build (FIXED)</vt:lpstr>
      <vt:lpstr>Revenue Build</vt:lpstr>
      <vt:lpstr>Cash Flow Statement</vt:lpstr>
      <vt:lpstr>Balance Sheet</vt:lpstr>
      <vt:lpstr>Comparisons</vt:lpstr>
      <vt:lpstr>Valuations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Thariq Shihipar</dc:creator>
  <cp:keywords/>
  <dc:description/>
  <cp:lastModifiedBy>Rithvik Jayanthi</cp:lastModifiedBy>
  <cp:revision/>
  <dcterms:created xsi:type="dcterms:W3CDTF">2025-05-22T23:41:35Z</dcterms:created>
  <dcterms:modified xsi:type="dcterms:W3CDTF">2025-11-21T04:36:24Z</dcterms:modified>
  <cp:category/>
  <cp:contentStatus/>
</cp:coreProperties>
</file>